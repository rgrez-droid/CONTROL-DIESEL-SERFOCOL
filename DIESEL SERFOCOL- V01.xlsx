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cer\Desktop\STREAMLIT WEB\SERFOCOL PROGRAMACION PY\"/>
    </mc:Choice>
  </mc:AlternateContent>
  <xr:revisionPtr revIDLastSave="0" documentId="13_ncr:1_{98618270-3BE3-4AFC-B22F-0EFE5D94332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IESEL SERFOCOL" sheetId="1" r:id="rId1"/>
    <sheet name="RESUMEN" sheetId="2" r:id="rId2"/>
  </sheets>
  <definedNames>
    <definedName name="_xlnm._FilterDatabase" localSheetId="0" hidden="1">'DIESEL SERFOCOL'!$A$9:$F$281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uELOpLYARKCxGo9Io5/2ZXFEKP9SIf0afDRUnVSGwCY="/>
    </ext>
  </extLst>
</workbook>
</file>

<file path=xl/calcChain.xml><?xml version="1.0" encoding="utf-8"?>
<calcChain xmlns="http://schemas.openxmlformats.org/spreadsheetml/2006/main">
  <c r="F315" i="1" l="1"/>
  <c r="Q9" i="2"/>
  <c r="Q6" i="2"/>
  <c r="Q7" i="2" l="1"/>
  <c r="Q8" i="2"/>
  <c r="Q10" i="2" l="1"/>
  <c r="B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E206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No esta el voucher original pero si la copia en serfocol</t>
        </r>
      </text>
    </comment>
  </commentList>
</comments>
</file>

<file path=xl/sharedStrings.xml><?xml version="1.0" encoding="utf-8"?>
<sst xmlns="http://schemas.openxmlformats.org/spreadsheetml/2006/main" count="945" uniqueCount="40">
  <si>
    <t>Planta</t>
  </si>
  <si>
    <t>Fechas</t>
  </si>
  <si>
    <t>Descripción</t>
  </si>
  <si>
    <t>Equipo</t>
  </si>
  <si>
    <t>Operador</t>
  </si>
  <si>
    <t>Lts</t>
  </si>
  <si>
    <t>Diesel</t>
  </si>
  <si>
    <t>N° Salida Existencia</t>
  </si>
  <si>
    <t>Luis Castillo</t>
  </si>
  <si>
    <t>Minicargador</t>
  </si>
  <si>
    <t>Francisco Ramirez</t>
  </si>
  <si>
    <t>Patricio Parada</t>
  </si>
  <si>
    <t>Mulchen</t>
  </si>
  <si>
    <t>Fecha actualizacion: 26-10-2025</t>
  </si>
  <si>
    <t>Leandro Parada</t>
  </si>
  <si>
    <t>Daniel Troncoso</t>
  </si>
  <si>
    <t>Nibaldo Tobar</t>
  </si>
  <si>
    <t>Resumen de solictud diesel Serfocol</t>
  </si>
  <si>
    <t>Diego Cofre</t>
  </si>
  <si>
    <t>Nicolas Quilodran</t>
  </si>
  <si>
    <t>Cantidad total en Lt:</t>
  </si>
  <si>
    <t>GENERACIÓN DE RESIDUOS POR ÁREA AÑO 2025</t>
  </si>
  <si>
    <t>ene</t>
  </si>
  <si>
    <t>feb</t>
  </si>
  <si>
    <t>mar</t>
  </si>
  <si>
    <t>abr</t>
  </si>
  <si>
    <t>may</t>
  </si>
  <si>
    <t>jun</t>
  </si>
  <si>
    <t>jul</t>
  </si>
  <si>
    <t>ago</t>
  </si>
  <si>
    <t>sept</t>
  </si>
  <si>
    <t>oct</t>
  </si>
  <si>
    <t>nov</t>
  </si>
  <si>
    <t>dic</t>
  </si>
  <si>
    <t>Año</t>
  </si>
  <si>
    <t xml:space="preserve">Equipo </t>
  </si>
  <si>
    <t>Combustible</t>
  </si>
  <si>
    <t>TOTAL</t>
  </si>
  <si>
    <t>Camilo Aguayo</t>
  </si>
  <si>
    <t>Retroexabadora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</si>
</sst>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3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indexed="8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3" fillId="0" borderId="0"/>
  </cellStyleXfs>
  <cellXfs count="33">
    <xf numFmtId="0" fontId="0" fillId="0" borderId="0" xfId="0"/>
    <xf numFmtId="0" fontId="5" fillId="0" borderId="0" xfId="0" applyFont="1"/>
    <xf numFmtId="0" fontId="6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0" fontId="7" fillId="0" borderId="0" xfId="0" applyFont="1"/>
    <xf numFmtId="14" fontId="4" fillId="0" borderId="0" xfId="0" applyNumberFormat="1" applyFont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14" fontId="4" fillId="6" borderId="0" xfId="0" applyNumberFormat="1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0" fillId="6" borderId="0" xfId="0" applyFill="1"/>
    <xf numFmtId="0" fontId="11" fillId="0" borderId="0" xfId="0" applyFont="1"/>
    <xf numFmtId="0" fontId="12" fillId="7" borderId="2" xfId="0" applyFont="1" applyFill="1" applyBorder="1" applyAlignment="1">
      <alignment horizontal="center" vertical="center"/>
    </xf>
    <xf numFmtId="0" fontId="12" fillId="8" borderId="2" xfId="0" applyFont="1" applyFill="1" applyBorder="1" applyAlignment="1">
      <alignment horizontal="center"/>
    </xf>
    <xf numFmtId="3" fontId="11" fillId="0" borderId="2" xfId="0" applyNumberFormat="1" applyFont="1" applyBorder="1" applyAlignment="1">
      <alignment horizontal="center" vertical="center"/>
    </xf>
    <xf numFmtId="3" fontId="11" fillId="0" borderId="2" xfId="0" applyNumberFormat="1" applyFont="1" applyBorder="1" applyAlignment="1">
      <alignment horizontal="center"/>
    </xf>
    <xf numFmtId="3" fontId="11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/>
    </xf>
    <xf numFmtId="3" fontId="0" fillId="0" borderId="0" xfId="0" applyNumberFormat="1"/>
    <xf numFmtId="0" fontId="3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0" fillId="7" borderId="0" xfId="0" applyFont="1" applyFill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</cellXfs>
  <cellStyles count="2">
    <cellStyle name="Normal" xfId="0" builtinId="0"/>
    <cellStyle name="Normal 2_Xl0000003_Planilla de cobro aserrindic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CL"/>
              <a:t>CONTROL CONSUMO DIESEL - SERFOCOL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1075440381510229"/>
          <c:y val="0.17318707220639354"/>
          <c:w val="0.87685684027344546"/>
          <c:h val="0.5390366307562952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RESUMEN!$B$6</c:f>
              <c:strCache>
                <c:ptCount val="1"/>
                <c:pt idx="0">
                  <c:v>2023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RESUMEN!$E$5:$P$5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RESUMEN!$E$6:$P$6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406</c:v>
                </c:pt>
                <c:pt idx="4">
                  <c:v>475</c:v>
                </c:pt>
                <c:pt idx="5">
                  <c:v>400</c:v>
                </c:pt>
                <c:pt idx="6">
                  <c:v>463.5</c:v>
                </c:pt>
                <c:pt idx="7">
                  <c:v>574</c:v>
                </c:pt>
                <c:pt idx="8">
                  <c:v>460</c:v>
                </c:pt>
                <c:pt idx="9">
                  <c:v>360</c:v>
                </c:pt>
                <c:pt idx="10">
                  <c:v>322</c:v>
                </c:pt>
                <c:pt idx="11">
                  <c:v>260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F6-41C6-BE79-7ABC3EE127F8}"/>
            </c:ext>
          </c:extLst>
        </c:ser>
        <c:ser>
          <c:idx val="1"/>
          <c:order val="1"/>
          <c:tx>
            <c:strRef>
              <c:f>RESUMEN!$B$7</c:f>
              <c:strCache>
                <c:ptCount val="1"/>
                <c:pt idx="0">
                  <c:v>2024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RESUMEN!$E$5:$P$5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RESUMEN!$E$7:$P$7</c:f>
              <c:numCache>
                <c:formatCode>#,##0</c:formatCode>
                <c:ptCount val="12"/>
                <c:pt idx="0">
                  <c:v>380</c:v>
                </c:pt>
                <c:pt idx="1">
                  <c:v>305</c:v>
                </c:pt>
                <c:pt idx="2">
                  <c:v>275</c:v>
                </c:pt>
                <c:pt idx="3">
                  <c:v>322</c:v>
                </c:pt>
                <c:pt idx="4">
                  <c:v>322</c:v>
                </c:pt>
                <c:pt idx="5">
                  <c:v>393</c:v>
                </c:pt>
                <c:pt idx="6">
                  <c:v>428</c:v>
                </c:pt>
                <c:pt idx="7">
                  <c:v>263</c:v>
                </c:pt>
                <c:pt idx="8">
                  <c:v>310</c:v>
                </c:pt>
                <c:pt idx="9">
                  <c:v>378</c:v>
                </c:pt>
                <c:pt idx="10">
                  <c:v>320</c:v>
                </c:pt>
                <c:pt idx="11">
                  <c:v>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F6-41C6-BE79-7ABC3EE127F8}"/>
            </c:ext>
          </c:extLst>
        </c:ser>
        <c:ser>
          <c:idx val="2"/>
          <c:order val="2"/>
          <c:tx>
            <c:strRef>
              <c:f>RESUMEN!$B$8</c:f>
              <c:strCache>
                <c:ptCount val="1"/>
                <c:pt idx="0">
                  <c:v>2025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RESUMEN!$E$5:$P$5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RESUMEN!$E$8:$P$8</c:f>
              <c:numCache>
                <c:formatCode>#,##0</c:formatCode>
                <c:ptCount val="12"/>
                <c:pt idx="0">
                  <c:v>459.5</c:v>
                </c:pt>
                <c:pt idx="1">
                  <c:v>426</c:v>
                </c:pt>
                <c:pt idx="2">
                  <c:v>401</c:v>
                </c:pt>
                <c:pt idx="3">
                  <c:v>394</c:v>
                </c:pt>
                <c:pt idx="4">
                  <c:v>396</c:v>
                </c:pt>
                <c:pt idx="5">
                  <c:v>339</c:v>
                </c:pt>
                <c:pt idx="6">
                  <c:v>448</c:v>
                </c:pt>
                <c:pt idx="7">
                  <c:v>546</c:v>
                </c:pt>
                <c:pt idx="8">
                  <c:v>239</c:v>
                </c:pt>
                <c:pt idx="9">
                  <c:v>437</c:v>
                </c:pt>
                <c:pt idx="10">
                  <c:v>202</c:v>
                </c:pt>
                <c:pt idx="11">
                  <c:v>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F6-41C6-BE79-7ABC3EE127F8}"/>
            </c:ext>
          </c:extLst>
        </c:ser>
        <c:ser>
          <c:idx val="7"/>
          <c:order val="7"/>
          <c:tx>
            <c:strRef>
              <c:f>RESUMEN!$B$9</c:f>
              <c:strCache>
                <c:ptCount val="1"/>
                <c:pt idx="0">
                  <c:v>2026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RESUMEN!$E$5:$P$5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RESUMEN!$E$9:$P$9</c:f>
              <c:numCache>
                <c:formatCode>#,##0</c:formatCode>
                <c:ptCount val="12"/>
                <c:pt idx="0">
                  <c:v>443</c:v>
                </c:pt>
                <c:pt idx="1">
                  <c:v>245</c:v>
                </c:pt>
                <c:pt idx="2">
                  <c:v>340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98-4552-862D-1083E1071A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65569087"/>
        <c:axId val="1465571167"/>
        <c:extLst>
          <c:ext xmlns:c15="http://schemas.microsoft.com/office/drawing/2012/chart" uri="{02D57815-91ED-43cb-92C2-25804820EDAC}">
            <c15:filteredBarSeries>
              <c15:ser>
                <c:idx val="3"/>
                <c:order val="3"/>
                <c:tx>
                  <c:v>Reproceso</c:v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CL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RESUMEN!$E$5:$P$5</c15:sqref>
                        </c15:formulaRef>
                      </c:ext>
                    </c:extLst>
                    <c:strCache>
                      <c:ptCount val="12"/>
                      <c:pt idx="0">
                        <c:v>ene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abr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ago</c:v>
                      </c:pt>
                      <c:pt idx="8">
                        <c:v>sept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dic</c:v>
                      </c:pt>
                    </c:strCache>
                  </c:strRef>
                </c:cat>
                <c:val>
                  <c:numLit>
                    <c:formatCode>General</c:formatCode>
                    <c:ptCount val="1"/>
                    <c:pt idx="0">
                      <c:v>1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4-93F6-41C6-BE79-7ABC3EE127F8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v>Drymill</c:v>
                </c:tx>
                <c:spPr>
                  <a:gradFill rotWithShape="1">
                    <a:gsLst>
                      <a:gs pos="0">
                        <a:schemeClr val="accent5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5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5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CL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RESUMEN!$E$5:$P$5</c15:sqref>
                        </c15:formulaRef>
                      </c:ext>
                    </c:extLst>
                    <c:strCache>
                      <c:ptCount val="12"/>
                      <c:pt idx="0">
                        <c:v>ene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abr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ago</c:v>
                      </c:pt>
                      <c:pt idx="8">
                        <c:v>sept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dic</c:v>
                      </c:pt>
                    </c:strCache>
                  </c:strRef>
                </c:cat>
                <c:val>
                  <c:numLit>
                    <c:formatCode>General</c:formatCode>
                    <c:ptCount val="1"/>
                    <c:pt idx="0">
                      <c:v>1</c:v>
                    </c:pt>
                  </c:numLit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3F6-41C6-BE79-7ABC3EE127F8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v>Casino</c:v>
                </c:tx>
                <c:spPr>
                  <a:gradFill rotWithShape="1">
                    <a:gsLst>
                      <a:gs pos="0">
                        <a:schemeClr val="accent6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6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6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CL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RESUMEN!$E$5:$P$5</c15:sqref>
                        </c15:formulaRef>
                      </c:ext>
                    </c:extLst>
                    <c:strCache>
                      <c:ptCount val="12"/>
                      <c:pt idx="0">
                        <c:v>ene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abr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ago</c:v>
                      </c:pt>
                      <c:pt idx="8">
                        <c:v>sept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dic</c:v>
                      </c:pt>
                    </c:strCache>
                  </c:strRef>
                </c:cat>
                <c:val>
                  <c:numLit>
                    <c:formatCode>General</c:formatCode>
                    <c:ptCount val="1"/>
                    <c:pt idx="0">
                      <c:v>1</c:v>
                    </c:pt>
                  </c:numLit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93F6-41C6-BE79-7ABC3EE127F8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v>Total</c:v>
                </c:tx>
                <c:spPr>
                  <a:gradFill rotWithShape="1">
                    <a:gsLst>
                      <a:gs pos="0">
                        <a:schemeClr val="accent1">
                          <a:lumMod val="6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lumMod val="6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6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CL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RESUMEN!$E$5:$P$5</c15:sqref>
                        </c15:formulaRef>
                      </c:ext>
                    </c:extLst>
                    <c:strCache>
                      <c:ptCount val="12"/>
                      <c:pt idx="0">
                        <c:v>ene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abr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ago</c:v>
                      </c:pt>
                      <c:pt idx="8">
                        <c:v>sept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dic</c:v>
                      </c:pt>
                    </c:strCache>
                  </c:strRef>
                </c:cat>
                <c:val>
                  <c:numLit>
                    <c:formatCode>General</c:formatCode>
                    <c:ptCount val="11"/>
                    <c:pt idx="0">
                      <c:v>72630</c:v>
                    </c:pt>
                    <c:pt idx="1">
                      <c:v>13930</c:v>
                    </c:pt>
                    <c:pt idx="2">
                      <c:v>55100</c:v>
                    </c:pt>
                    <c:pt idx="3">
                      <c:v>79790</c:v>
                    </c:pt>
                    <c:pt idx="4">
                      <c:v>77820</c:v>
                    </c:pt>
                    <c:pt idx="5">
                      <c:v>136700</c:v>
                    </c:pt>
                    <c:pt idx="6">
                      <c:v>58320</c:v>
                    </c:pt>
                    <c:pt idx="7">
                      <c:v>26410</c:v>
                    </c:pt>
                    <c:pt idx="8">
                      <c:v>16200</c:v>
                    </c:pt>
                    <c:pt idx="9">
                      <c:v>26560</c:v>
                    </c:pt>
                    <c:pt idx="10">
                      <c:v>30790</c:v>
                    </c:pt>
                  </c:numLit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3F6-41C6-BE79-7ABC3EE127F8}"/>
                  </c:ext>
                </c:extLst>
              </c15:ser>
            </c15:filteredBarSeries>
          </c:ext>
        </c:extLst>
      </c:barChart>
      <c:catAx>
        <c:axId val="1465569087"/>
        <c:scaling>
          <c:orientation val="minMax"/>
        </c:scaling>
        <c:delete val="0"/>
        <c:axPos val="b"/>
        <c:minorGridlines>
          <c:spPr>
            <a:ln>
              <a:solidFill>
                <a:schemeClr val="lt1">
                  <a:lumMod val="95000"/>
                  <a:alpha val="5000"/>
                </a:schemeClr>
              </a:solidFill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65571167"/>
        <c:crosses val="autoZero"/>
        <c:auto val="1"/>
        <c:lblAlgn val="ctr"/>
        <c:lblOffset val="100"/>
        <c:noMultiLvlLbl val="0"/>
      </c:catAx>
      <c:valAx>
        <c:axId val="1465571167"/>
        <c:scaling>
          <c:orientation val="minMax"/>
          <c:max val="6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6556908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cap="flat">
      <a:noFill/>
      <a:bevel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657412</xdr:colOff>
      <xdr:row>0</xdr:row>
      <xdr:rowOff>0</xdr:rowOff>
    </xdr:from>
    <xdr:ext cx="1143000" cy="702234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7412" y="0"/>
          <a:ext cx="1143000" cy="702234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1262530</xdr:colOff>
      <xdr:row>1</xdr:row>
      <xdr:rowOff>149413</xdr:rowOff>
    </xdr:from>
    <xdr:ext cx="2300940" cy="76200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759824" y="328707"/>
          <a:ext cx="2300940" cy="7620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302594</xdr:colOff>
      <xdr:row>10</xdr:row>
      <xdr:rowOff>515759</xdr:rowOff>
    </xdr:from>
    <xdr:to>
      <xdr:col>5</xdr:col>
      <xdr:colOff>198576</xdr:colOff>
      <xdr:row>33</xdr:row>
      <xdr:rowOff>61607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697747</xdr:colOff>
      <xdr:row>31</xdr:row>
      <xdr:rowOff>64823</xdr:rowOff>
    </xdr:from>
    <xdr:to>
      <xdr:col>2</xdr:col>
      <xdr:colOff>6598</xdr:colOff>
      <xdr:row>32</xdr:row>
      <xdr:rowOff>67768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847838" y="7511641"/>
          <a:ext cx="1687215" cy="1876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 b="1">
              <a:solidFill>
                <a:schemeClr val="bg1"/>
              </a:solidFill>
            </a:rPr>
            <a:t>2023 : 3.721 Lts.</a:t>
          </a:r>
        </a:p>
      </xdr:txBody>
    </xdr:sp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0.25602</cdr:x>
      <cdr:y>0.91912</cdr:y>
    </cdr:from>
    <cdr:to>
      <cdr:x>0.42528</cdr:x>
      <cdr:y>0.96077</cdr:y>
    </cdr:to>
    <cdr:sp macro="" textlink="">
      <cdr:nvSpPr>
        <cdr:cNvPr id="2" name="CuadroTexto 4"/>
        <cdr:cNvSpPr txBox="1"/>
      </cdr:nvSpPr>
      <cdr:spPr>
        <a:xfrm xmlns:a="http://schemas.openxmlformats.org/drawingml/2006/main">
          <a:off x="1675968" y="4028846"/>
          <a:ext cx="1108004" cy="18256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CL" sz="1100" b="1">
              <a:solidFill>
                <a:schemeClr val="bg1"/>
              </a:solidFill>
            </a:rPr>
            <a:t>2024 : 4.080 Lts</a:t>
          </a:r>
        </a:p>
      </cdr:txBody>
    </cdr:sp>
  </cdr:relSizeAnchor>
  <cdr:relSizeAnchor xmlns:cdr="http://schemas.openxmlformats.org/drawingml/2006/chartDrawing">
    <cdr:from>
      <cdr:x>0.45079</cdr:x>
      <cdr:y>0.9234</cdr:y>
    </cdr:from>
    <cdr:to>
      <cdr:x>0.63242</cdr:x>
      <cdr:y>0.98068</cdr:y>
    </cdr:to>
    <cdr:sp macro="" textlink="">
      <cdr:nvSpPr>
        <cdr:cNvPr id="3" name="CuadroTexto 4"/>
        <cdr:cNvSpPr txBox="1"/>
      </cdr:nvSpPr>
      <cdr:spPr>
        <a:xfrm xmlns:a="http://schemas.openxmlformats.org/drawingml/2006/main">
          <a:off x="2950947" y="4047623"/>
          <a:ext cx="1188980" cy="25107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CL" sz="1100" b="1">
              <a:solidFill>
                <a:schemeClr val="bg1"/>
              </a:solidFill>
            </a:rPr>
            <a:t>2025 : 4.338 Lts</a:t>
          </a:r>
        </a:p>
      </cdr:txBody>
    </cdr:sp>
  </cdr:relSizeAnchor>
  <cdr:relSizeAnchor xmlns:cdr="http://schemas.openxmlformats.org/drawingml/2006/chartDrawing">
    <cdr:from>
      <cdr:x>0.66562</cdr:x>
      <cdr:y>0.93346</cdr:y>
    </cdr:from>
    <cdr:to>
      <cdr:x>0.84725</cdr:x>
      <cdr:y>0.99074</cdr:y>
    </cdr:to>
    <cdr:sp macro="" textlink="">
      <cdr:nvSpPr>
        <cdr:cNvPr id="4" name="CuadroTexto 4"/>
        <cdr:cNvSpPr txBox="1"/>
      </cdr:nvSpPr>
      <cdr:spPr>
        <a:xfrm xmlns:a="http://schemas.openxmlformats.org/drawingml/2006/main">
          <a:off x="4357255" y="4091709"/>
          <a:ext cx="1188980" cy="25107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CL" sz="1100" b="1">
              <a:solidFill>
                <a:schemeClr val="bg1"/>
              </a:solidFill>
            </a:rPr>
            <a:t>2026 : 1.028 Lts</a:t>
          </a:r>
        </a:p>
      </cdr:txBody>
    </cdr:sp>
  </cdr:relSizeAnchor>
</c:userShape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35"/>
  <sheetViews>
    <sheetView tabSelected="1" zoomScale="85" zoomScaleNormal="85" workbookViewId="0">
      <pane ySplit="9" topLeftCell="A308" activePane="bottomLeft" state="frozen"/>
      <selection pane="bottomLeft" activeCell="F316" sqref="F316"/>
    </sheetView>
  </sheetViews>
  <sheetFormatPr baseColWidth="10" defaultColWidth="14.453125" defaultRowHeight="15" customHeight="1" x14ac:dyDescent="0.35"/>
  <cols>
    <col min="1" max="1" width="18.6328125" customWidth="1"/>
    <col min="2" max="2" width="23.7265625" customWidth="1"/>
    <col min="3" max="3" width="22" customWidth="1"/>
    <col min="4" max="4" width="20" customWidth="1"/>
    <col min="5" max="5" width="23" customWidth="1"/>
    <col min="6" max="6" width="7.81640625" customWidth="1"/>
    <col min="7" max="19" width="8.7265625" customWidth="1"/>
  </cols>
  <sheetData>
    <row r="1" spans="1:6" ht="14.25" customHeight="1" x14ac:dyDescent="0.35">
      <c r="A1" s="28"/>
      <c r="B1" s="28"/>
    </row>
    <row r="2" spans="1:6" ht="14.25" customHeight="1" x14ac:dyDescent="0.35">
      <c r="A2" s="28"/>
      <c r="B2" s="28"/>
    </row>
    <row r="3" spans="1:6" ht="14.25" customHeight="1" x14ac:dyDescent="0.35">
      <c r="A3" s="28"/>
      <c r="B3" s="28"/>
    </row>
    <row r="4" spans="1:6" ht="14.25" customHeight="1" x14ac:dyDescent="0.35">
      <c r="A4" s="28"/>
      <c r="B4" s="28"/>
    </row>
    <row r="5" spans="1:6" ht="14.25" customHeight="1" x14ac:dyDescent="0.35">
      <c r="A5" s="1" t="s">
        <v>13</v>
      </c>
    </row>
    <row r="6" spans="1:6" ht="14.25" customHeight="1" x14ac:dyDescent="0.35">
      <c r="A6" s="8" t="s">
        <v>20</v>
      </c>
      <c r="B6" s="5">
        <f>+F315</f>
        <v>15401</v>
      </c>
    </row>
    <row r="7" spans="1:6" ht="14.25" customHeight="1" x14ac:dyDescent="0.35">
      <c r="A7" s="1" t="s">
        <v>0</v>
      </c>
      <c r="B7" s="5" t="s">
        <v>12</v>
      </c>
    </row>
    <row r="8" spans="1:6" ht="14.25" customHeight="1" x14ac:dyDescent="0.35">
      <c r="A8" s="8" t="s">
        <v>17</v>
      </c>
      <c r="C8" s="2"/>
      <c r="E8" s="2"/>
      <c r="F8" s="2"/>
    </row>
    <row r="9" spans="1:6" ht="14.25" customHeight="1" x14ac:dyDescent="0.35">
      <c r="A9" s="3" t="s">
        <v>1</v>
      </c>
      <c r="B9" s="3" t="s">
        <v>2</v>
      </c>
      <c r="C9" s="3" t="s">
        <v>4</v>
      </c>
      <c r="D9" s="3" t="s">
        <v>3</v>
      </c>
      <c r="E9" s="3" t="s">
        <v>7</v>
      </c>
      <c r="F9" s="3" t="s">
        <v>5</v>
      </c>
    </row>
    <row r="10" spans="1:6" ht="14.25" customHeight="1" x14ac:dyDescent="0.35">
      <c r="A10" s="4">
        <v>45027</v>
      </c>
      <c r="B10" s="5" t="s">
        <v>6</v>
      </c>
      <c r="C10" s="5" t="s">
        <v>8</v>
      </c>
      <c r="D10" s="5" t="s">
        <v>9</v>
      </c>
      <c r="E10" s="5">
        <v>752</v>
      </c>
      <c r="F10" s="5">
        <v>50</v>
      </c>
    </row>
    <row r="11" spans="1:6" ht="14.25" customHeight="1" x14ac:dyDescent="0.35">
      <c r="A11" s="4">
        <v>45028</v>
      </c>
      <c r="B11" s="5" t="s">
        <v>6</v>
      </c>
      <c r="C11" s="5" t="s">
        <v>10</v>
      </c>
      <c r="D11" s="5" t="s">
        <v>9</v>
      </c>
      <c r="E11" s="5">
        <v>753</v>
      </c>
      <c r="F11" s="5">
        <v>50</v>
      </c>
    </row>
    <row r="12" spans="1:6" ht="14.25" customHeight="1" x14ac:dyDescent="0.35">
      <c r="A12" s="4">
        <v>45031</v>
      </c>
      <c r="B12" s="5" t="s">
        <v>6</v>
      </c>
      <c r="C12" s="5" t="s">
        <v>10</v>
      </c>
      <c r="D12" s="5" t="s">
        <v>9</v>
      </c>
      <c r="E12" s="5">
        <v>754</v>
      </c>
      <c r="F12" s="5">
        <v>50</v>
      </c>
    </row>
    <row r="13" spans="1:6" ht="14.25" customHeight="1" x14ac:dyDescent="0.35">
      <c r="A13" s="4">
        <v>45034</v>
      </c>
      <c r="B13" s="5" t="s">
        <v>6</v>
      </c>
      <c r="C13" s="5" t="s">
        <v>8</v>
      </c>
      <c r="D13" s="5" t="s">
        <v>9</v>
      </c>
      <c r="E13" s="5">
        <v>755</v>
      </c>
      <c r="F13" s="5">
        <v>54</v>
      </c>
    </row>
    <row r="14" spans="1:6" ht="14.25" customHeight="1" x14ac:dyDescent="0.35">
      <c r="A14" s="4">
        <v>45036</v>
      </c>
      <c r="B14" s="5" t="s">
        <v>6</v>
      </c>
      <c r="C14" s="5" t="s">
        <v>8</v>
      </c>
      <c r="D14" s="5" t="s">
        <v>9</v>
      </c>
      <c r="E14" s="5">
        <v>756</v>
      </c>
      <c r="F14" s="5">
        <v>52</v>
      </c>
    </row>
    <row r="15" spans="1:6" ht="14.25" customHeight="1" x14ac:dyDescent="0.35">
      <c r="A15" s="4">
        <v>45041</v>
      </c>
      <c r="B15" s="5" t="s">
        <v>6</v>
      </c>
      <c r="C15" s="5" t="s">
        <v>10</v>
      </c>
      <c r="D15" s="5" t="s">
        <v>9</v>
      </c>
      <c r="E15" s="5">
        <v>758</v>
      </c>
      <c r="F15" s="5">
        <v>50</v>
      </c>
    </row>
    <row r="16" spans="1:6" ht="14.25" customHeight="1" x14ac:dyDescent="0.35">
      <c r="A16" s="4">
        <v>45042</v>
      </c>
      <c r="B16" s="5" t="s">
        <v>6</v>
      </c>
      <c r="C16" s="5" t="s">
        <v>11</v>
      </c>
      <c r="D16" s="5" t="s">
        <v>9</v>
      </c>
      <c r="E16" s="5">
        <v>759</v>
      </c>
      <c r="F16" s="5">
        <v>50</v>
      </c>
    </row>
    <row r="17" spans="1:6" ht="14.25" customHeight="1" x14ac:dyDescent="0.35">
      <c r="A17" s="4">
        <v>45044</v>
      </c>
      <c r="B17" s="5" t="s">
        <v>6</v>
      </c>
      <c r="C17" s="5" t="s">
        <v>10</v>
      </c>
      <c r="D17" s="5" t="s">
        <v>9</v>
      </c>
      <c r="E17" s="5">
        <v>760</v>
      </c>
      <c r="F17" s="5">
        <v>50</v>
      </c>
    </row>
    <row r="18" spans="1:6" ht="14.25" customHeight="1" x14ac:dyDescent="0.35">
      <c r="A18" s="4">
        <v>45049</v>
      </c>
      <c r="B18" s="5" t="s">
        <v>6</v>
      </c>
      <c r="C18" s="5" t="s">
        <v>8</v>
      </c>
      <c r="D18" s="5" t="s">
        <v>9</v>
      </c>
      <c r="E18" s="5">
        <v>761</v>
      </c>
      <c r="F18" s="5">
        <v>56</v>
      </c>
    </row>
    <row r="19" spans="1:6" ht="14.25" customHeight="1" x14ac:dyDescent="0.35">
      <c r="A19" s="4">
        <v>45054</v>
      </c>
      <c r="B19" s="5" t="s">
        <v>6</v>
      </c>
      <c r="C19" s="5" t="s">
        <v>8</v>
      </c>
      <c r="D19" s="5" t="s">
        <v>9</v>
      </c>
      <c r="E19" s="5">
        <v>12101</v>
      </c>
      <c r="F19" s="5">
        <v>50</v>
      </c>
    </row>
    <row r="20" spans="1:6" ht="14.25" customHeight="1" x14ac:dyDescent="0.35">
      <c r="A20" s="4">
        <v>45055</v>
      </c>
      <c r="B20" s="5" t="s">
        <v>6</v>
      </c>
      <c r="C20" s="5" t="s">
        <v>8</v>
      </c>
      <c r="D20" s="5" t="s">
        <v>9</v>
      </c>
      <c r="E20" s="5">
        <v>762</v>
      </c>
      <c r="F20" s="5">
        <v>60</v>
      </c>
    </row>
    <row r="21" spans="1:6" ht="14.25" customHeight="1" x14ac:dyDescent="0.35">
      <c r="A21" s="4">
        <v>45058</v>
      </c>
      <c r="B21" s="5" t="s">
        <v>6</v>
      </c>
      <c r="C21" s="5" t="s">
        <v>8</v>
      </c>
      <c r="D21" s="5" t="s">
        <v>9</v>
      </c>
      <c r="E21" s="5">
        <v>763</v>
      </c>
      <c r="F21" s="5">
        <v>50</v>
      </c>
    </row>
    <row r="22" spans="1:6" ht="14.25" customHeight="1" x14ac:dyDescent="0.35">
      <c r="A22" s="4">
        <v>45061</v>
      </c>
      <c r="B22" s="5" t="s">
        <v>6</v>
      </c>
      <c r="C22" s="5" t="s">
        <v>11</v>
      </c>
      <c r="D22" s="5" t="s">
        <v>9</v>
      </c>
      <c r="E22" s="5">
        <v>764</v>
      </c>
      <c r="F22" s="5">
        <v>54</v>
      </c>
    </row>
    <row r="23" spans="1:6" ht="14.25" customHeight="1" x14ac:dyDescent="0.35">
      <c r="A23" s="4">
        <v>45064</v>
      </c>
      <c r="B23" s="5" t="s">
        <v>6</v>
      </c>
      <c r="C23" s="5" t="s">
        <v>8</v>
      </c>
      <c r="D23" s="5" t="s">
        <v>9</v>
      </c>
      <c r="E23" s="5">
        <v>765</v>
      </c>
      <c r="F23" s="5">
        <v>50</v>
      </c>
    </row>
    <row r="24" spans="1:6" ht="14.25" customHeight="1" x14ac:dyDescent="0.35">
      <c r="A24" s="4">
        <v>45065</v>
      </c>
      <c r="B24" s="5" t="s">
        <v>6</v>
      </c>
      <c r="C24" s="5" t="s">
        <v>11</v>
      </c>
      <c r="D24" s="5" t="s">
        <v>9</v>
      </c>
      <c r="E24" s="5">
        <v>766</v>
      </c>
      <c r="F24" s="5">
        <v>50</v>
      </c>
    </row>
    <row r="25" spans="1:6" ht="14.25" customHeight="1" x14ac:dyDescent="0.35">
      <c r="A25" s="4">
        <v>45070</v>
      </c>
      <c r="B25" s="5" t="s">
        <v>6</v>
      </c>
      <c r="C25" s="5" t="s">
        <v>8</v>
      </c>
      <c r="D25" s="5" t="s">
        <v>9</v>
      </c>
      <c r="E25" s="5">
        <v>767</v>
      </c>
      <c r="F25" s="5">
        <v>55</v>
      </c>
    </row>
    <row r="26" spans="1:6" ht="14.25" customHeight="1" x14ac:dyDescent="0.35">
      <c r="A26" s="4">
        <v>45075</v>
      </c>
      <c r="B26" s="5" t="s">
        <v>6</v>
      </c>
      <c r="C26" s="5" t="s">
        <v>11</v>
      </c>
      <c r="D26" s="5" t="s">
        <v>9</v>
      </c>
      <c r="E26" s="5">
        <v>768</v>
      </c>
      <c r="F26" s="5">
        <v>50</v>
      </c>
    </row>
    <row r="27" spans="1:6" ht="14.25" customHeight="1" x14ac:dyDescent="0.35">
      <c r="A27" s="4">
        <v>45079</v>
      </c>
      <c r="B27" s="5" t="s">
        <v>6</v>
      </c>
      <c r="C27" s="5" t="s">
        <v>8</v>
      </c>
      <c r="D27" s="5" t="s">
        <v>9</v>
      </c>
      <c r="E27" s="5">
        <v>769</v>
      </c>
      <c r="F27" s="5">
        <v>55</v>
      </c>
    </row>
    <row r="28" spans="1:6" ht="14.25" customHeight="1" x14ac:dyDescent="0.35">
      <c r="A28" s="4">
        <v>45083</v>
      </c>
      <c r="B28" s="5" t="s">
        <v>6</v>
      </c>
      <c r="C28" s="5" t="s">
        <v>11</v>
      </c>
      <c r="D28" s="5" t="s">
        <v>9</v>
      </c>
      <c r="E28" s="5">
        <v>770</v>
      </c>
      <c r="F28" s="5">
        <v>40</v>
      </c>
    </row>
    <row r="29" spans="1:6" ht="14.25" customHeight="1" x14ac:dyDescent="0.35">
      <c r="A29" s="4">
        <v>45086</v>
      </c>
      <c r="B29" s="5" t="s">
        <v>6</v>
      </c>
      <c r="C29" s="5" t="s">
        <v>11</v>
      </c>
      <c r="D29" s="5" t="s">
        <v>9</v>
      </c>
      <c r="E29" s="5">
        <v>771</v>
      </c>
      <c r="F29" s="5">
        <v>50</v>
      </c>
    </row>
    <row r="30" spans="1:6" ht="14.25" customHeight="1" x14ac:dyDescent="0.35">
      <c r="A30" s="4">
        <v>45090</v>
      </c>
      <c r="B30" s="5" t="s">
        <v>6</v>
      </c>
      <c r="C30" s="5" t="s">
        <v>8</v>
      </c>
      <c r="D30" s="5" t="s">
        <v>9</v>
      </c>
      <c r="E30" s="5">
        <v>772</v>
      </c>
      <c r="F30" s="5">
        <v>55</v>
      </c>
    </row>
    <row r="31" spans="1:6" ht="14.25" customHeight="1" x14ac:dyDescent="0.35">
      <c r="A31" s="4">
        <v>45093</v>
      </c>
      <c r="B31" s="5" t="s">
        <v>6</v>
      </c>
      <c r="C31" s="5" t="s">
        <v>11</v>
      </c>
      <c r="D31" s="5" t="s">
        <v>9</v>
      </c>
      <c r="E31" s="5">
        <v>773</v>
      </c>
      <c r="F31" s="5">
        <v>50</v>
      </c>
    </row>
    <row r="32" spans="1:6" ht="14.25" customHeight="1" x14ac:dyDescent="0.35">
      <c r="A32" s="4">
        <v>45098</v>
      </c>
      <c r="B32" s="5" t="s">
        <v>6</v>
      </c>
      <c r="C32" s="5" t="s">
        <v>11</v>
      </c>
      <c r="D32" s="5" t="s">
        <v>9</v>
      </c>
      <c r="E32" s="5">
        <v>774</v>
      </c>
      <c r="F32" s="5">
        <v>50</v>
      </c>
    </row>
    <row r="33" spans="1:6" ht="14.25" customHeight="1" x14ac:dyDescent="0.35">
      <c r="A33" s="4">
        <v>45104</v>
      </c>
      <c r="B33" s="5" t="s">
        <v>6</v>
      </c>
      <c r="C33" s="5" t="s">
        <v>8</v>
      </c>
      <c r="D33" s="5" t="s">
        <v>9</v>
      </c>
      <c r="E33" s="5">
        <v>775</v>
      </c>
      <c r="F33" s="5">
        <v>50</v>
      </c>
    </row>
    <row r="34" spans="1:6" ht="14.25" customHeight="1" x14ac:dyDescent="0.35">
      <c r="A34" s="4">
        <v>45106</v>
      </c>
      <c r="B34" s="5" t="s">
        <v>6</v>
      </c>
      <c r="C34" s="5" t="s">
        <v>11</v>
      </c>
      <c r="D34" s="5" t="s">
        <v>9</v>
      </c>
      <c r="E34" s="5">
        <v>776</v>
      </c>
      <c r="F34" s="5">
        <v>50</v>
      </c>
    </row>
    <row r="35" spans="1:6" ht="14.25" customHeight="1" x14ac:dyDescent="0.35">
      <c r="A35" s="4">
        <v>45111</v>
      </c>
      <c r="B35" s="5" t="s">
        <v>6</v>
      </c>
      <c r="C35" s="5" t="s">
        <v>8</v>
      </c>
      <c r="D35" s="5" t="s">
        <v>9</v>
      </c>
      <c r="E35" s="5">
        <v>777</v>
      </c>
      <c r="F35" s="5">
        <v>50</v>
      </c>
    </row>
    <row r="36" spans="1:6" ht="14.25" customHeight="1" x14ac:dyDescent="0.35">
      <c r="A36" s="4">
        <v>45118</v>
      </c>
      <c r="B36" s="5" t="s">
        <v>6</v>
      </c>
      <c r="C36" s="5" t="s">
        <v>8</v>
      </c>
      <c r="D36" s="5" t="s">
        <v>9</v>
      </c>
      <c r="E36" s="5">
        <v>778</v>
      </c>
      <c r="F36" s="5">
        <v>55</v>
      </c>
    </row>
    <row r="37" spans="1:6" ht="14.25" customHeight="1" x14ac:dyDescent="0.35">
      <c r="A37" s="4">
        <v>45121</v>
      </c>
      <c r="B37" s="5" t="s">
        <v>6</v>
      </c>
      <c r="C37" s="5" t="s">
        <v>11</v>
      </c>
      <c r="D37" s="5" t="s">
        <v>9</v>
      </c>
      <c r="E37" s="5">
        <v>779</v>
      </c>
      <c r="F37" s="5">
        <v>50</v>
      </c>
    </row>
    <row r="38" spans="1:6" ht="14.25" customHeight="1" x14ac:dyDescent="0.35">
      <c r="A38" s="4">
        <v>45121</v>
      </c>
      <c r="B38" s="5" t="s">
        <v>6</v>
      </c>
      <c r="C38" s="5" t="s">
        <v>8</v>
      </c>
      <c r="D38" s="5" t="s">
        <v>9</v>
      </c>
      <c r="E38" s="5">
        <v>780</v>
      </c>
      <c r="F38" s="5">
        <v>55</v>
      </c>
    </row>
    <row r="39" spans="1:6" ht="14.25" customHeight="1" x14ac:dyDescent="0.35">
      <c r="A39" s="4">
        <v>45124</v>
      </c>
      <c r="B39" s="5" t="s">
        <v>6</v>
      </c>
      <c r="C39" s="5" t="s">
        <v>11</v>
      </c>
      <c r="D39" s="5" t="s">
        <v>9</v>
      </c>
      <c r="E39" s="5">
        <v>781</v>
      </c>
      <c r="F39" s="5">
        <v>50</v>
      </c>
    </row>
    <row r="40" spans="1:6" ht="14.25" customHeight="1" x14ac:dyDescent="0.35">
      <c r="A40" s="4">
        <v>45128</v>
      </c>
      <c r="B40" s="5" t="s">
        <v>6</v>
      </c>
      <c r="C40" s="5" t="s">
        <v>14</v>
      </c>
      <c r="D40" s="5" t="s">
        <v>9</v>
      </c>
      <c r="E40" s="5">
        <v>782</v>
      </c>
      <c r="F40" s="5">
        <v>50</v>
      </c>
    </row>
    <row r="41" spans="1:6" ht="14.25" customHeight="1" x14ac:dyDescent="0.35">
      <c r="A41" s="4">
        <v>45131</v>
      </c>
      <c r="B41" s="5" t="s">
        <v>6</v>
      </c>
      <c r="C41" s="5" t="s">
        <v>14</v>
      </c>
      <c r="D41" s="5" t="s">
        <v>9</v>
      </c>
      <c r="E41" s="5">
        <v>783</v>
      </c>
      <c r="F41" s="5">
        <v>50</v>
      </c>
    </row>
    <row r="42" spans="1:6" ht="14.25" customHeight="1" x14ac:dyDescent="0.35">
      <c r="A42" s="4">
        <v>45133</v>
      </c>
      <c r="B42" s="5" t="s">
        <v>6</v>
      </c>
      <c r="C42" s="5" t="s">
        <v>14</v>
      </c>
      <c r="D42" s="5" t="s">
        <v>9</v>
      </c>
      <c r="E42" s="5">
        <v>784</v>
      </c>
      <c r="F42" s="5">
        <v>53.5</v>
      </c>
    </row>
    <row r="43" spans="1:6" ht="14.25" customHeight="1" x14ac:dyDescent="0.35">
      <c r="A43" s="4">
        <v>45136</v>
      </c>
      <c r="B43" s="5" t="s">
        <v>6</v>
      </c>
      <c r="C43" s="5" t="s">
        <v>14</v>
      </c>
      <c r="D43" s="5" t="s">
        <v>9</v>
      </c>
      <c r="E43" s="5">
        <v>785</v>
      </c>
      <c r="F43" s="5">
        <v>50</v>
      </c>
    </row>
    <row r="44" spans="1:6" ht="14.25" customHeight="1" x14ac:dyDescent="0.35">
      <c r="A44" s="4">
        <v>45139</v>
      </c>
      <c r="B44" s="5" t="s">
        <v>6</v>
      </c>
      <c r="C44" s="5" t="s">
        <v>14</v>
      </c>
      <c r="D44" s="5" t="s">
        <v>9</v>
      </c>
      <c r="E44" s="5">
        <v>786</v>
      </c>
      <c r="F44" s="5">
        <v>52</v>
      </c>
    </row>
    <row r="45" spans="1:6" ht="14.25" customHeight="1" x14ac:dyDescent="0.35">
      <c r="A45" s="4">
        <v>45141</v>
      </c>
      <c r="B45" s="5" t="s">
        <v>6</v>
      </c>
      <c r="C45" s="5" t="s">
        <v>14</v>
      </c>
      <c r="D45" s="5" t="s">
        <v>9</v>
      </c>
      <c r="E45" s="5">
        <v>787</v>
      </c>
      <c r="F45" s="5">
        <v>51</v>
      </c>
    </row>
    <row r="46" spans="1:6" ht="14.25" customHeight="1" x14ac:dyDescent="0.35">
      <c r="A46" s="4">
        <v>45143</v>
      </c>
      <c r="B46" s="5" t="s">
        <v>6</v>
      </c>
      <c r="C46" s="5" t="s">
        <v>14</v>
      </c>
      <c r="D46" s="5" t="s">
        <v>9</v>
      </c>
      <c r="E46" s="5">
        <v>788</v>
      </c>
      <c r="F46" s="5">
        <v>45</v>
      </c>
    </row>
    <row r="47" spans="1:6" ht="14.25" customHeight="1" x14ac:dyDescent="0.35">
      <c r="A47" s="4">
        <v>45146</v>
      </c>
      <c r="B47" s="5" t="s">
        <v>6</v>
      </c>
      <c r="C47" s="5" t="s">
        <v>8</v>
      </c>
      <c r="D47" s="5" t="s">
        <v>9</v>
      </c>
      <c r="E47" s="5">
        <v>789</v>
      </c>
      <c r="F47" s="5">
        <v>54</v>
      </c>
    </row>
    <row r="48" spans="1:6" ht="14.25" customHeight="1" x14ac:dyDescent="0.35">
      <c r="A48" s="4">
        <v>45149</v>
      </c>
      <c r="B48" s="5" t="s">
        <v>6</v>
      </c>
      <c r="C48" s="5" t="s">
        <v>8</v>
      </c>
      <c r="D48" s="5" t="s">
        <v>9</v>
      </c>
      <c r="E48" s="5">
        <v>790</v>
      </c>
      <c r="F48" s="5">
        <v>57</v>
      </c>
    </row>
    <row r="49" spans="1:6" ht="14.25" customHeight="1" x14ac:dyDescent="0.35">
      <c r="A49" s="4">
        <v>45153</v>
      </c>
      <c r="B49" s="5" t="s">
        <v>6</v>
      </c>
      <c r="C49" s="5" t="s">
        <v>8</v>
      </c>
      <c r="D49" s="5" t="s">
        <v>9</v>
      </c>
      <c r="E49" s="5">
        <v>791</v>
      </c>
      <c r="F49" s="5">
        <v>55</v>
      </c>
    </row>
    <row r="50" spans="1:6" ht="14.25" customHeight="1" x14ac:dyDescent="0.35">
      <c r="A50" s="4">
        <v>45156</v>
      </c>
      <c r="B50" s="5" t="s">
        <v>6</v>
      </c>
      <c r="C50" s="5" t="s">
        <v>14</v>
      </c>
      <c r="D50" s="5" t="s">
        <v>9</v>
      </c>
      <c r="E50" s="5">
        <v>792</v>
      </c>
      <c r="F50" s="5">
        <v>50</v>
      </c>
    </row>
    <row r="51" spans="1:6" ht="14.25" customHeight="1" x14ac:dyDescent="0.35">
      <c r="A51" s="4">
        <v>45160</v>
      </c>
      <c r="B51" s="5" t="s">
        <v>6</v>
      </c>
      <c r="C51" s="5" t="s">
        <v>11</v>
      </c>
      <c r="D51" s="5" t="s">
        <v>9</v>
      </c>
      <c r="E51" s="5">
        <v>793</v>
      </c>
      <c r="F51" s="5">
        <v>50</v>
      </c>
    </row>
    <row r="52" spans="1:6" ht="14.25" customHeight="1" x14ac:dyDescent="0.35">
      <c r="A52" s="4">
        <v>45161</v>
      </c>
      <c r="B52" s="5" t="s">
        <v>6</v>
      </c>
      <c r="C52" s="5" t="s">
        <v>8</v>
      </c>
      <c r="D52" s="5" t="s">
        <v>9</v>
      </c>
      <c r="E52" s="5">
        <v>794</v>
      </c>
      <c r="F52" s="5">
        <v>55</v>
      </c>
    </row>
    <row r="53" spans="1:6" ht="14.25" customHeight="1" x14ac:dyDescent="0.35">
      <c r="A53" s="4">
        <v>45166</v>
      </c>
      <c r="B53" s="5" t="s">
        <v>6</v>
      </c>
      <c r="C53" s="5" t="s">
        <v>14</v>
      </c>
      <c r="D53" s="5" t="s">
        <v>9</v>
      </c>
      <c r="E53" s="5">
        <v>795</v>
      </c>
      <c r="F53" s="5">
        <v>50</v>
      </c>
    </row>
    <row r="54" spans="1:6" ht="14.25" customHeight="1" x14ac:dyDescent="0.35">
      <c r="A54" s="4">
        <v>45168</v>
      </c>
      <c r="B54" s="5" t="s">
        <v>6</v>
      </c>
      <c r="C54" s="5" t="s">
        <v>8</v>
      </c>
      <c r="D54" s="5" t="s">
        <v>9</v>
      </c>
      <c r="E54" s="5">
        <v>796</v>
      </c>
      <c r="F54" s="5">
        <v>55</v>
      </c>
    </row>
    <row r="55" spans="1:6" ht="14.25" customHeight="1" x14ac:dyDescent="0.35">
      <c r="A55" s="4">
        <v>45170</v>
      </c>
      <c r="B55" s="5" t="s">
        <v>6</v>
      </c>
      <c r="C55" s="5" t="s">
        <v>11</v>
      </c>
      <c r="D55" s="5" t="s">
        <v>9</v>
      </c>
      <c r="E55" s="5">
        <v>798</v>
      </c>
      <c r="F55" s="5">
        <v>55</v>
      </c>
    </row>
    <row r="56" spans="1:6" ht="14.25" customHeight="1" x14ac:dyDescent="0.35">
      <c r="A56" s="4">
        <v>45173</v>
      </c>
      <c r="B56" s="5" t="s">
        <v>6</v>
      </c>
      <c r="C56" s="5" t="s">
        <v>8</v>
      </c>
      <c r="D56" s="5" t="s">
        <v>9</v>
      </c>
      <c r="E56" s="5">
        <v>799</v>
      </c>
      <c r="F56" s="5">
        <v>55</v>
      </c>
    </row>
    <row r="57" spans="1:6" ht="14.25" customHeight="1" x14ac:dyDescent="0.35">
      <c r="A57" s="4">
        <v>45177</v>
      </c>
      <c r="B57" s="5" t="s">
        <v>6</v>
      </c>
      <c r="C57" s="5" t="s">
        <v>8</v>
      </c>
      <c r="D57" s="5" t="s">
        <v>9</v>
      </c>
      <c r="E57" s="5">
        <v>800</v>
      </c>
      <c r="F57" s="5">
        <v>60</v>
      </c>
    </row>
    <row r="58" spans="1:6" ht="14.25" customHeight="1" x14ac:dyDescent="0.35">
      <c r="A58" s="4">
        <v>45181</v>
      </c>
      <c r="B58" s="5" t="s">
        <v>6</v>
      </c>
      <c r="C58" s="5" t="s">
        <v>8</v>
      </c>
      <c r="D58" s="5" t="s">
        <v>9</v>
      </c>
      <c r="E58" s="5">
        <v>10251</v>
      </c>
      <c r="F58" s="5">
        <v>55</v>
      </c>
    </row>
    <row r="59" spans="1:6" ht="14.25" customHeight="1" x14ac:dyDescent="0.35">
      <c r="A59" s="4">
        <v>45184</v>
      </c>
      <c r="B59" s="5" t="s">
        <v>6</v>
      </c>
      <c r="C59" s="5" t="s">
        <v>11</v>
      </c>
      <c r="D59" s="5" t="s">
        <v>9</v>
      </c>
      <c r="E59" s="5">
        <v>10252</v>
      </c>
      <c r="F59" s="5">
        <v>50</v>
      </c>
    </row>
    <row r="60" spans="1:6" ht="14.25" customHeight="1" x14ac:dyDescent="0.35">
      <c r="A60" s="4">
        <v>45185</v>
      </c>
      <c r="B60" s="5" t="s">
        <v>6</v>
      </c>
      <c r="C60" s="5" t="s">
        <v>8</v>
      </c>
      <c r="D60" s="5" t="s">
        <v>9</v>
      </c>
      <c r="E60" s="5">
        <v>10253</v>
      </c>
      <c r="F60" s="5">
        <v>30</v>
      </c>
    </row>
    <row r="61" spans="1:6" ht="14.25" customHeight="1" x14ac:dyDescent="0.35">
      <c r="A61" s="4">
        <v>45190</v>
      </c>
      <c r="B61" s="5" t="s">
        <v>6</v>
      </c>
      <c r="C61" s="5" t="s">
        <v>11</v>
      </c>
      <c r="D61" s="5" t="s">
        <v>9</v>
      </c>
      <c r="E61" s="5">
        <v>10254</v>
      </c>
      <c r="F61" s="5">
        <v>50</v>
      </c>
    </row>
    <row r="62" spans="1:6" ht="14.25" customHeight="1" x14ac:dyDescent="0.35">
      <c r="A62" s="4">
        <v>45194</v>
      </c>
      <c r="B62" s="5" t="s">
        <v>6</v>
      </c>
      <c r="C62" s="5" t="s">
        <v>11</v>
      </c>
      <c r="D62" s="5" t="s">
        <v>9</v>
      </c>
      <c r="E62" s="5">
        <v>10255</v>
      </c>
      <c r="F62" s="5">
        <v>55</v>
      </c>
    </row>
    <row r="63" spans="1:6" ht="14.25" customHeight="1" x14ac:dyDescent="0.35">
      <c r="A63" s="4">
        <v>45197</v>
      </c>
      <c r="B63" s="5" t="s">
        <v>6</v>
      </c>
      <c r="C63" s="5" t="s">
        <v>11</v>
      </c>
      <c r="D63" s="5" t="s">
        <v>9</v>
      </c>
      <c r="E63" s="5">
        <v>10256</v>
      </c>
      <c r="F63" s="5">
        <v>50</v>
      </c>
    </row>
    <row r="64" spans="1:6" ht="14.25" customHeight="1" x14ac:dyDescent="0.35">
      <c r="A64" s="4">
        <v>45202</v>
      </c>
      <c r="B64" s="5" t="s">
        <v>6</v>
      </c>
      <c r="C64" s="5" t="s">
        <v>11</v>
      </c>
      <c r="D64" s="5" t="s">
        <v>9</v>
      </c>
      <c r="E64" s="5">
        <v>10257</v>
      </c>
      <c r="F64" s="5">
        <v>50</v>
      </c>
    </row>
    <row r="65" spans="1:6" ht="14.25" customHeight="1" x14ac:dyDescent="0.35">
      <c r="A65" s="4">
        <v>45204</v>
      </c>
      <c r="B65" s="5" t="s">
        <v>6</v>
      </c>
      <c r="C65" s="5" t="s">
        <v>8</v>
      </c>
      <c r="D65" s="5" t="s">
        <v>9</v>
      </c>
      <c r="E65" s="5">
        <v>10258</v>
      </c>
      <c r="F65" s="5">
        <v>55</v>
      </c>
    </row>
    <row r="66" spans="1:6" ht="14.25" customHeight="1" x14ac:dyDescent="0.35">
      <c r="A66" s="4">
        <v>45210</v>
      </c>
      <c r="B66" s="5" t="s">
        <v>6</v>
      </c>
      <c r="C66" s="5" t="s">
        <v>11</v>
      </c>
      <c r="D66" s="5" t="s">
        <v>9</v>
      </c>
      <c r="E66" s="5">
        <v>10259</v>
      </c>
      <c r="F66" s="5">
        <v>50</v>
      </c>
    </row>
    <row r="67" spans="1:6" ht="14.25" customHeight="1" x14ac:dyDescent="0.35">
      <c r="A67" s="4">
        <v>45213</v>
      </c>
      <c r="B67" s="5" t="s">
        <v>6</v>
      </c>
      <c r="C67" s="5" t="s">
        <v>11</v>
      </c>
      <c r="D67" s="5" t="s">
        <v>9</v>
      </c>
      <c r="E67" s="5">
        <v>10260</v>
      </c>
      <c r="F67" s="5">
        <v>55</v>
      </c>
    </row>
    <row r="68" spans="1:6" ht="14.25" customHeight="1" x14ac:dyDescent="0.35">
      <c r="A68" s="4">
        <v>45217</v>
      </c>
      <c r="B68" s="5" t="s">
        <v>6</v>
      </c>
      <c r="C68" s="5" t="s">
        <v>14</v>
      </c>
      <c r="D68" s="5" t="s">
        <v>9</v>
      </c>
      <c r="E68" s="5">
        <v>10261</v>
      </c>
      <c r="F68" s="5">
        <v>50</v>
      </c>
    </row>
    <row r="69" spans="1:6" ht="14.25" customHeight="1" x14ac:dyDescent="0.35">
      <c r="A69" s="4">
        <v>45224</v>
      </c>
      <c r="B69" s="5" t="s">
        <v>6</v>
      </c>
      <c r="C69" s="5" t="s">
        <v>14</v>
      </c>
      <c r="D69" s="5" t="s">
        <v>9</v>
      </c>
      <c r="E69" s="5">
        <v>10262</v>
      </c>
      <c r="F69" s="5">
        <v>50</v>
      </c>
    </row>
    <row r="70" spans="1:6" ht="14.25" customHeight="1" x14ac:dyDescent="0.35">
      <c r="A70" s="4">
        <v>45229</v>
      </c>
      <c r="B70" s="5" t="s">
        <v>6</v>
      </c>
      <c r="C70" s="5" t="s">
        <v>8</v>
      </c>
      <c r="D70" s="5" t="s">
        <v>9</v>
      </c>
      <c r="E70" s="5">
        <v>10263</v>
      </c>
      <c r="F70" s="5">
        <v>50</v>
      </c>
    </row>
    <row r="71" spans="1:6" ht="14.25" customHeight="1" x14ac:dyDescent="0.35">
      <c r="A71" s="4">
        <v>45236</v>
      </c>
      <c r="B71" s="5" t="s">
        <v>6</v>
      </c>
      <c r="C71" s="5" t="s">
        <v>8</v>
      </c>
      <c r="D71" s="5" t="s">
        <v>9</v>
      </c>
      <c r="E71" s="5">
        <v>10264</v>
      </c>
      <c r="F71" s="5">
        <v>50</v>
      </c>
    </row>
    <row r="72" spans="1:6" ht="14.25" customHeight="1" x14ac:dyDescent="0.35">
      <c r="A72" s="4">
        <v>45240</v>
      </c>
      <c r="B72" s="5" t="s">
        <v>6</v>
      </c>
      <c r="C72" s="5" t="s">
        <v>8</v>
      </c>
      <c r="D72" s="5" t="s">
        <v>9</v>
      </c>
      <c r="E72" s="6">
        <v>10265</v>
      </c>
      <c r="F72" s="5">
        <v>55</v>
      </c>
    </row>
    <row r="73" spans="1:6" ht="14.25" customHeight="1" x14ac:dyDescent="0.35">
      <c r="A73" s="4">
        <v>45246</v>
      </c>
      <c r="B73" s="5" t="s">
        <v>6</v>
      </c>
      <c r="C73" s="5" t="s">
        <v>8</v>
      </c>
      <c r="D73" s="5" t="s">
        <v>9</v>
      </c>
      <c r="E73" s="6">
        <v>10266</v>
      </c>
      <c r="F73" s="5">
        <v>55</v>
      </c>
    </row>
    <row r="74" spans="1:6" ht="14.25" customHeight="1" x14ac:dyDescent="0.35">
      <c r="A74" s="4">
        <v>45250</v>
      </c>
      <c r="B74" s="5" t="s">
        <v>6</v>
      </c>
      <c r="C74" s="5" t="s">
        <v>14</v>
      </c>
      <c r="D74" s="5" t="s">
        <v>9</v>
      </c>
      <c r="E74" s="6">
        <v>10267</v>
      </c>
      <c r="F74" s="5">
        <v>55</v>
      </c>
    </row>
    <row r="75" spans="1:6" ht="14.25" customHeight="1" x14ac:dyDescent="0.35">
      <c r="A75" s="4">
        <v>45254</v>
      </c>
      <c r="B75" s="5" t="s">
        <v>6</v>
      </c>
      <c r="C75" s="5" t="s">
        <v>8</v>
      </c>
      <c r="D75" s="5" t="s">
        <v>9</v>
      </c>
      <c r="E75" s="6">
        <v>10269</v>
      </c>
      <c r="F75" s="5">
        <v>52</v>
      </c>
    </row>
    <row r="76" spans="1:6" ht="14.25" customHeight="1" x14ac:dyDescent="0.35">
      <c r="A76" s="4">
        <v>45259</v>
      </c>
      <c r="B76" s="5" t="s">
        <v>6</v>
      </c>
      <c r="C76" s="5" t="s">
        <v>14</v>
      </c>
      <c r="D76" s="5" t="s">
        <v>9</v>
      </c>
      <c r="E76" s="6">
        <v>10270</v>
      </c>
      <c r="F76" s="5">
        <v>55</v>
      </c>
    </row>
    <row r="77" spans="1:6" ht="14.25" customHeight="1" x14ac:dyDescent="0.35">
      <c r="A77" s="4">
        <v>45265</v>
      </c>
      <c r="B77" s="5" t="s">
        <v>6</v>
      </c>
      <c r="C77" s="5" t="s">
        <v>14</v>
      </c>
      <c r="D77" s="5" t="s">
        <v>9</v>
      </c>
      <c r="E77" s="6">
        <v>10271</v>
      </c>
      <c r="F77" s="5">
        <v>50</v>
      </c>
    </row>
    <row r="78" spans="1:6" ht="14.25" customHeight="1" x14ac:dyDescent="0.35">
      <c r="A78" s="4">
        <v>45271</v>
      </c>
      <c r="B78" s="5" t="s">
        <v>6</v>
      </c>
      <c r="C78" s="5" t="s">
        <v>14</v>
      </c>
      <c r="D78" s="5" t="s">
        <v>9</v>
      </c>
      <c r="E78" s="6">
        <v>10272</v>
      </c>
      <c r="F78" s="5">
        <v>50</v>
      </c>
    </row>
    <row r="79" spans="1:6" ht="14.25" customHeight="1" x14ac:dyDescent="0.35">
      <c r="A79" s="4">
        <v>45275</v>
      </c>
      <c r="B79" s="5" t="s">
        <v>6</v>
      </c>
      <c r="C79" s="5" t="s">
        <v>14</v>
      </c>
      <c r="D79" s="5" t="s">
        <v>9</v>
      </c>
      <c r="E79" s="6">
        <v>10273</v>
      </c>
      <c r="F79" s="5">
        <v>55</v>
      </c>
    </row>
    <row r="80" spans="1:6" ht="14.25" customHeight="1" x14ac:dyDescent="0.35">
      <c r="A80" s="4">
        <v>45280</v>
      </c>
      <c r="B80" s="5" t="s">
        <v>6</v>
      </c>
      <c r="C80" s="5" t="s">
        <v>8</v>
      </c>
      <c r="D80" s="5" t="s">
        <v>9</v>
      </c>
      <c r="E80" s="6">
        <v>10274</v>
      </c>
      <c r="F80" s="5">
        <v>50</v>
      </c>
    </row>
    <row r="81" spans="1:6" ht="14.25" customHeight="1" x14ac:dyDescent="0.35">
      <c r="A81" s="4">
        <v>45286</v>
      </c>
      <c r="B81" s="5" t="s">
        <v>6</v>
      </c>
      <c r="C81" s="5" t="s">
        <v>14</v>
      </c>
      <c r="D81" s="5" t="s">
        <v>9</v>
      </c>
      <c r="E81" s="5">
        <v>10275</v>
      </c>
      <c r="F81" s="5">
        <v>55</v>
      </c>
    </row>
    <row r="82" spans="1:6" ht="14.25" customHeight="1" x14ac:dyDescent="0.35">
      <c r="A82" s="4">
        <v>45294</v>
      </c>
      <c r="B82" s="5" t="s">
        <v>6</v>
      </c>
      <c r="C82" s="5" t="s">
        <v>14</v>
      </c>
      <c r="D82" s="5" t="s">
        <v>9</v>
      </c>
      <c r="E82" s="5">
        <v>10276</v>
      </c>
      <c r="F82" s="13">
        <v>56</v>
      </c>
    </row>
    <row r="83" spans="1:6" ht="14.25" customHeight="1" x14ac:dyDescent="0.35">
      <c r="A83" s="4">
        <v>45299</v>
      </c>
      <c r="B83" s="5" t="s">
        <v>6</v>
      </c>
      <c r="C83" s="5" t="s">
        <v>8</v>
      </c>
      <c r="D83" s="5" t="s">
        <v>9</v>
      </c>
      <c r="E83" s="5">
        <v>10277</v>
      </c>
      <c r="F83" s="13">
        <v>55</v>
      </c>
    </row>
    <row r="84" spans="1:6" ht="14.25" customHeight="1" x14ac:dyDescent="0.35">
      <c r="A84" s="4">
        <v>45302</v>
      </c>
      <c r="B84" s="5" t="s">
        <v>6</v>
      </c>
      <c r="C84" s="5" t="s">
        <v>8</v>
      </c>
      <c r="D84" s="5" t="s">
        <v>9</v>
      </c>
      <c r="E84" s="5">
        <v>10278</v>
      </c>
      <c r="F84" s="13">
        <v>55</v>
      </c>
    </row>
    <row r="85" spans="1:6" ht="14.25" customHeight="1" x14ac:dyDescent="0.35">
      <c r="A85" s="4">
        <v>45307</v>
      </c>
      <c r="B85" s="5" t="s">
        <v>6</v>
      </c>
      <c r="C85" s="5" t="s">
        <v>8</v>
      </c>
      <c r="D85" s="5" t="s">
        <v>9</v>
      </c>
      <c r="E85" s="5">
        <v>10279</v>
      </c>
      <c r="F85" s="13">
        <v>50</v>
      </c>
    </row>
    <row r="86" spans="1:6" ht="14.25" customHeight="1" x14ac:dyDescent="0.35">
      <c r="A86" s="4">
        <v>45310</v>
      </c>
      <c r="B86" s="5" t="s">
        <v>6</v>
      </c>
      <c r="C86" s="5" t="s">
        <v>8</v>
      </c>
      <c r="D86" s="5" t="s">
        <v>9</v>
      </c>
      <c r="E86" s="5">
        <v>10280</v>
      </c>
      <c r="F86" s="13">
        <v>55</v>
      </c>
    </row>
    <row r="87" spans="1:6" ht="14.25" customHeight="1" x14ac:dyDescent="0.35">
      <c r="A87" s="4">
        <v>45316</v>
      </c>
      <c r="B87" s="5" t="s">
        <v>6</v>
      </c>
      <c r="C87" s="5" t="s">
        <v>8</v>
      </c>
      <c r="D87" s="5" t="s">
        <v>9</v>
      </c>
      <c r="E87" s="5">
        <v>10281</v>
      </c>
      <c r="F87" s="13">
        <v>59</v>
      </c>
    </row>
    <row r="88" spans="1:6" ht="14.25" customHeight="1" x14ac:dyDescent="0.35">
      <c r="A88" s="4">
        <v>45322</v>
      </c>
      <c r="B88" s="5" t="s">
        <v>6</v>
      </c>
      <c r="C88" s="5" t="s">
        <v>8</v>
      </c>
      <c r="D88" s="5" t="s">
        <v>9</v>
      </c>
      <c r="E88" s="5">
        <v>10282</v>
      </c>
      <c r="F88" s="13">
        <v>50</v>
      </c>
    </row>
    <row r="89" spans="1:6" ht="14.25" customHeight="1" x14ac:dyDescent="0.35">
      <c r="A89" s="4">
        <v>45327</v>
      </c>
      <c r="B89" s="5" t="s">
        <v>6</v>
      </c>
      <c r="C89" s="5" t="s">
        <v>8</v>
      </c>
      <c r="D89" s="5" t="s">
        <v>9</v>
      </c>
      <c r="E89" s="5">
        <v>10283</v>
      </c>
      <c r="F89" s="13">
        <v>60</v>
      </c>
    </row>
    <row r="90" spans="1:6" ht="14.25" customHeight="1" x14ac:dyDescent="0.35">
      <c r="A90" s="4">
        <v>45331</v>
      </c>
      <c r="B90" s="5" t="s">
        <v>6</v>
      </c>
      <c r="C90" s="5" t="s">
        <v>8</v>
      </c>
      <c r="D90" s="5" t="s">
        <v>9</v>
      </c>
      <c r="E90" s="5">
        <v>10284</v>
      </c>
      <c r="F90" s="13">
        <v>55</v>
      </c>
    </row>
    <row r="91" spans="1:6" ht="14.25" customHeight="1" x14ac:dyDescent="0.35">
      <c r="A91" s="4">
        <v>45336</v>
      </c>
      <c r="B91" s="5" t="s">
        <v>6</v>
      </c>
      <c r="C91" s="5" t="s">
        <v>8</v>
      </c>
      <c r="D91" s="5" t="s">
        <v>9</v>
      </c>
      <c r="E91" s="5">
        <v>10285</v>
      </c>
      <c r="F91" s="13">
        <v>60</v>
      </c>
    </row>
    <row r="92" spans="1:6" ht="14.25" customHeight="1" x14ac:dyDescent="0.35">
      <c r="A92" s="4">
        <v>45339</v>
      </c>
      <c r="B92" s="5" t="s">
        <v>6</v>
      </c>
      <c r="C92" s="5" t="s">
        <v>15</v>
      </c>
      <c r="D92" s="5" t="s">
        <v>9</v>
      </c>
      <c r="E92" s="5">
        <v>10286</v>
      </c>
      <c r="F92" s="13">
        <v>50</v>
      </c>
    </row>
    <row r="93" spans="1:6" ht="14.25" customHeight="1" x14ac:dyDescent="0.35">
      <c r="A93" s="4">
        <v>45342</v>
      </c>
      <c r="B93" s="5" t="s">
        <v>6</v>
      </c>
      <c r="C93" s="5" t="s">
        <v>16</v>
      </c>
      <c r="D93" s="5" t="s">
        <v>9</v>
      </c>
      <c r="E93" s="5">
        <v>10287</v>
      </c>
      <c r="F93" s="13">
        <v>30</v>
      </c>
    </row>
    <row r="94" spans="1:6" ht="14.25" customHeight="1" x14ac:dyDescent="0.35">
      <c r="A94" s="4">
        <v>45349</v>
      </c>
      <c r="B94" s="5" t="s">
        <v>6</v>
      </c>
      <c r="C94" s="5" t="s">
        <v>15</v>
      </c>
      <c r="D94" s="5" t="s">
        <v>9</v>
      </c>
      <c r="E94" s="5">
        <v>10288</v>
      </c>
      <c r="F94" s="13">
        <v>50</v>
      </c>
    </row>
    <row r="95" spans="1:6" ht="14.25" customHeight="1" x14ac:dyDescent="0.35">
      <c r="A95" s="4">
        <v>45355</v>
      </c>
      <c r="B95" s="5" t="s">
        <v>6</v>
      </c>
      <c r="C95" s="5" t="s">
        <v>15</v>
      </c>
      <c r="D95" s="5" t="s">
        <v>9</v>
      </c>
      <c r="E95" s="5">
        <v>10289</v>
      </c>
      <c r="F95" s="5">
        <v>50</v>
      </c>
    </row>
    <row r="96" spans="1:6" ht="14.25" customHeight="1" x14ac:dyDescent="0.35">
      <c r="A96" s="4">
        <v>45358</v>
      </c>
      <c r="B96" s="5" t="s">
        <v>6</v>
      </c>
      <c r="C96" s="5" t="s">
        <v>8</v>
      </c>
      <c r="D96" s="5" t="s">
        <v>9</v>
      </c>
      <c r="E96" s="5">
        <v>10290</v>
      </c>
      <c r="F96" s="5">
        <v>57</v>
      </c>
    </row>
    <row r="97" spans="1:6" ht="14.25" customHeight="1" x14ac:dyDescent="0.35">
      <c r="A97" s="4">
        <v>45366</v>
      </c>
      <c r="B97" s="5" t="s">
        <v>6</v>
      </c>
      <c r="C97" s="5" t="s">
        <v>8</v>
      </c>
      <c r="D97" s="5" t="s">
        <v>9</v>
      </c>
      <c r="E97" s="5">
        <v>10291</v>
      </c>
      <c r="F97" s="5">
        <v>50</v>
      </c>
    </row>
    <row r="98" spans="1:6" ht="14.25" customHeight="1" x14ac:dyDescent="0.35">
      <c r="A98" s="4">
        <v>45370</v>
      </c>
      <c r="B98" s="5" t="s">
        <v>6</v>
      </c>
      <c r="C98" s="5" t="s">
        <v>8</v>
      </c>
      <c r="D98" s="5" t="s">
        <v>9</v>
      </c>
      <c r="E98" s="5">
        <v>10292</v>
      </c>
      <c r="F98" s="5">
        <v>58</v>
      </c>
    </row>
    <row r="99" spans="1:6" ht="14.25" customHeight="1" x14ac:dyDescent="0.35">
      <c r="A99" s="4">
        <v>45376</v>
      </c>
      <c r="B99" s="5" t="s">
        <v>6</v>
      </c>
      <c r="C99" s="5" t="s">
        <v>8</v>
      </c>
      <c r="D99" s="5" t="s">
        <v>9</v>
      </c>
      <c r="E99" s="5">
        <v>10293</v>
      </c>
      <c r="F99" s="5">
        <v>60</v>
      </c>
    </row>
    <row r="100" spans="1:6" ht="14.25" customHeight="1" x14ac:dyDescent="0.35">
      <c r="A100" s="4">
        <v>45383</v>
      </c>
      <c r="B100" s="5" t="s">
        <v>6</v>
      </c>
      <c r="C100" s="5" t="s">
        <v>8</v>
      </c>
      <c r="D100" s="5" t="s">
        <v>9</v>
      </c>
      <c r="E100" s="5">
        <v>10294</v>
      </c>
      <c r="F100" s="5">
        <v>54</v>
      </c>
    </row>
    <row r="101" spans="1:6" ht="14.25" customHeight="1" x14ac:dyDescent="0.35">
      <c r="A101" s="4">
        <v>45385</v>
      </c>
      <c r="B101" s="5" t="s">
        <v>6</v>
      </c>
      <c r="C101" s="5" t="s">
        <v>16</v>
      </c>
      <c r="D101" s="5" t="s">
        <v>9</v>
      </c>
      <c r="E101" s="5">
        <v>10295</v>
      </c>
      <c r="F101" s="5">
        <v>54</v>
      </c>
    </row>
    <row r="102" spans="1:6" ht="14.25" customHeight="1" x14ac:dyDescent="0.35">
      <c r="A102" s="4">
        <v>45390</v>
      </c>
      <c r="B102" s="5" t="s">
        <v>6</v>
      </c>
      <c r="C102" s="5" t="s">
        <v>16</v>
      </c>
      <c r="D102" s="5" t="s">
        <v>9</v>
      </c>
      <c r="E102" s="5">
        <v>10296</v>
      </c>
      <c r="F102" s="5">
        <v>55</v>
      </c>
    </row>
    <row r="103" spans="1:6" ht="14.25" customHeight="1" x14ac:dyDescent="0.35">
      <c r="A103" s="4">
        <v>45394</v>
      </c>
      <c r="B103" s="5" t="s">
        <v>6</v>
      </c>
      <c r="C103" s="5" t="s">
        <v>8</v>
      </c>
      <c r="D103" s="5" t="s">
        <v>9</v>
      </c>
      <c r="E103" s="5">
        <v>10297</v>
      </c>
      <c r="F103" s="5">
        <v>50</v>
      </c>
    </row>
    <row r="104" spans="1:6" ht="14.25" customHeight="1" x14ac:dyDescent="0.35">
      <c r="A104" s="4">
        <v>45399</v>
      </c>
      <c r="B104" s="5" t="s">
        <v>6</v>
      </c>
      <c r="C104" s="5" t="s">
        <v>8</v>
      </c>
      <c r="D104" s="5" t="s">
        <v>9</v>
      </c>
      <c r="E104" s="5">
        <v>10298</v>
      </c>
      <c r="F104" s="5">
        <v>55</v>
      </c>
    </row>
    <row r="105" spans="1:6" ht="14.25" customHeight="1" x14ac:dyDescent="0.35">
      <c r="A105" s="4">
        <v>45402</v>
      </c>
      <c r="B105" s="5" t="s">
        <v>6</v>
      </c>
      <c r="C105" s="5" t="s">
        <v>8</v>
      </c>
      <c r="D105" s="5" t="s">
        <v>9</v>
      </c>
      <c r="E105" s="5">
        <v>10299</v>
      </c>
      <c r="F105" s="5">
        <v>54</v>
      </c>
    </row>
    <row r="106" spans="1:6" ht="14.25" customHeight="1" x14ac:dyDescent="0.35">
      <c r="A106" s="4">
        <v>45415</v>
      </c>
      <c r="B106" s="5" t="s">
        <v>6</v>
      </c>
      <c r="C106" s="5" t="s">
        <v>8</v>
      </c>
      <c r="D106" s="5" t="s">
        <v>9</v>
      </c>
      <c r="E106" s="5">
        <v>10300</v>
      </c>
      <c r="F106" s="5">
        <v>60</v>
      </c>
    </row>
    <row r="107" spans="1:6" ht="14.25" customHeight="1" x14ac:dyDescent="0.35">
      <c r="A107" s="4">
        <v>45420</v>
      </c>
      <c r="B107" s="5" t="s">
        <v>6</v>
      </c>
      <c r="C107" s="5" t="s">
        <v>8</v>
      </c>
      <c r="D107" s="5" t="s">
        <v>9</v>
      </c>
      <c r="E107" s="5">
        <v>12101</v>
      </c>
      <c r="F107" s="5">
        <v>50</v>
      </c>
    </row>
    <row r="108" spans="1:6" ht="14.25" customHeight="1" x14ac:dyDescent="0.35">
      <c r="A108" s="4">
        <v>45428</v>
      </c>
      <c r="B108" s="5" t="s">
        <v>6</v>
      </c>
      <c r="C108" s="5" t="s">
        <v>8</v>
      </c>
      <c r="D108" s="5" t="s">
        <v>9</v>
      </c>
      <c r="E108" s="5">
        <v>12102</v>
      </c>
      <c r="F108" s="5">
        <v>55</v>
      </c>
    </row>
    <row r="109" spans="1:6" ht="14.25" customHeight="1" x14ac:dyDescent="0.35">
      <c r="A109" s="4">
        <v>45432</v>
      </c>
      <c r="B109" s="5" t="s">
        <v>6</v>
      </c>
      <c r="C109" s="5" t="s">
        <v>8</v>
      </c>
      <c r="D109" s="5" t="s">
        <v>9</v>
      </c>
      <c r="E109" s="5">
        <v>12103</v>
      </c>
      <c r="F109" s="5">
        <v>50</v>
      </c>
    </row>
    <row r="110" spans="1:6" ht="14.25" customHeight="1" x14ac:dyDescent="0.35">
      <c r="A110" s="4">
        <v>45436</v>
      </c>
      <c r="B110" s="5" t="s">
        <v>6</v>
      </c>
      <c r="C110" s="5" t="s">
        <v>8</v>
      </c>
      <c r="D110" s="5" t="s">
        <v>9</v>
      </c>
      <c r="E110" s="5">
        <v>12104</v>
      </c>
      <c r="F110" s="5">
        <v>52</v>
      </c>
    </row>
    <row r="111" spans="1:6" ht="14.25" customHeight="1" x14ac:dyDescent="0.35">
      <c r="A111" s="4">
        <v>45441</v>
      </c>
      <c r="B111" s="5" t="s">
        <v>6</v>
      </c>
      <c r="C111" s="5" t="s">
        <v>8</v>
      </c>
      <c r="D111" s="5" t="s">
        <v>9</v>
      </c>
      <c r="E111" s="5">
        <v>12105</v>
      </c>
      <c r="F111" s="5">
        <v>55</v>
      </c>
    </row>
    <row r="112" spans="1:6" ht="14.25" customHeight="1" x14ac:dyDescent="0.35">
      <c r="A112" s="4">
        <v>45444</v>
      </c>
      <c r="B112" s="5" t="s">
        <v>6</v>
      </c>
      <c r="C112" s="5" t="s">
        <v>8</v>
      </c>
      <c r="D112" s="5" t="s">
        <v>9</v>
      </c>
      <c r="E112" s="5">
        <v>12106</v>
      </c>
      <c r="F112" s="5">
        <v>55</v>
      </c>
    </row>
    <row r="113" spans="1:6" ht="14.25" customHeight="1" x14ac:dyDescent="0.35">
      <c r="A113" s="4">
        <v>45449</v>
      </c>
      <c r="B113" s="5" t="s">
        <v>6</v>
      </c>
      <c r="C113" s="5" t="s">
        <v>16</v>
      </c>
      <c r="D113" s="5" t="s">
        <v>9</v>
      </c>
      <c r="E113" s="5">
        <v>12107</v>
      </c>
      <c r="F113" s="5">
        <v>57</v>
      </c>
    </row>
    <row r="114" spans="1:6" ht="14.25" customHeight="1" x14ac:dyDescent="0.35">
      <c r="A114" s="4">
        <v>45455</v>
      </c>
      <c r="B114" s="5" t="s">
        <v>6</v>
      </c>
      <c r="C114" s="7" t="s">
        <v>8</v>
      </c>
      <c r="D114" s="5" t="s">
        <v>9</v>
      </c>
      <c r="E114" s="5">
        <v>12108</v>
      </c>
      <c r="F114" s="5">
        <v>55</v>
      </c>
    </row>
    <row r="115" spans="1:6" ht="14.25" customHeight="1" x14ac:dyDescent="0.35">
      <c r="A115" s="4">
        <v>45458</v>
      </c>
      <c r="B115" s="5" t="s">
        <v>6</v>
      </c>
      <c r="C115" s="7" t="s">
        <v>8</v>
      </c>
      <c r="D115" s="5" t="s">
        <v>9</v>
      </c>
      <c r="E115" s="5">
        <v>12109</v>
      </c>
      <c r="F115" s="5">
        <v>53</v>
      </c>
    </row>
    <row r="116" spans="1:6" ht="14.25" customHeight="1" x14ac:dyDescent="0.35">
      <c r="A116" s="4">
        <v>45462</v>
      </c>
      <c r="B116" s="5" t="s">
        <v>6</v>
      </c>
      <c r="C116" s="7" t="s">
        <v>8</v>
      </c>
      <c r="D116" s="5" t="s">
        <v>9</v>
      </c>
      <c r="E116" s="5">
        <v>12110</v>
      </c>
      <c r="F116" s="5">
        <v>60</v>
      </c>
    </row>
    <row r="117" spans="1:6" ht="14.25" customHeight="1" x14ac:dyDescent="0.35">
      <c r="A117" s="4">
        <v>45467</v>
      </c>
      <c r="B117" s="5" t="s">
        <v>6</v>
      </c>
      <c r="C117" s="7" t="s">
        <v>8</v>
      </c>
      <c r="D117" s="5" t="s">
        <v>9</v>
      </c>
      <c r="E117" s="5">
        <v>12111</v>
      </c>
      <c r="F117" s="5">
        <v>58</v>
      </c>
    </row>
    <row r="118" spans="1:6" ht="14.25" customHeight="1" x14ac:dyDescent="0.35">
      <c r="A118" s="4">
        <v>45471</v>
      </c>
      <c r="B118" s="5" t="s">
        <v>6</v>
      </c>
      <c r="C118" s="7" t="s">
        <v>8</v>
      </c>
      <c r="D118" s="5" t="s">
        <v>9</v>
      </c>
      <c r="E118" s="5">
        <v>12112</v>
      </c>
      <c r="F118" s="5">
        <v>55</v>
      </c>
    </row>
    <row r="119" spans="1:6" ht="14.25" customHeight="1" x14ac:dyDescent="0.35">
      <c r="A119" s="4">
        <v>45475</v>
      </c>
      <c r="B119" s="5" t="s">
        <v>6</v>
      </c>
      <c r="C119" s="7" t="s">
        <v>8</v>
      </c>
      <c r="D119" s="5" t="s">
        <v>9</v>
      </c>
      <c r="E119" s="5">
        <v>12113</v>
      </c>
      <c r="F119" s="5">
        <v>51</v>
      </c>
    </row>
    <row r="120" spans="1:6" ht="14.25" customHeight="1" x14ac:dyDescent="0.35">
      <c r="A120" s="4">
        <v>45478</v>
      </c>
      <c r="B120" s="5" t="s">
        <v>6</v>
      </c>
      <c r="C120" s="7" t="s">
        <v>8</v>
      </c>
      <c r="D120" s="5" t="s">
        <v>9</v>
      </c>
      <c r="E120" s="5">
        <v>12114</v>
      </c>
      <c r="F120" s="5">
        <v>53</v>
      </c>
    </row>
    <row r="121" spans="1:6" ht="14.25" customHeight="1" x14ac:dyDescent="0.35">
      <c r="A121" s="4">
        <v>45482</v>
      </c>
      <c r="B121" s="5" t="s">
        <v>6</v>
      </c>
      <c r="C121" s="7" t="s">
        <v>8</v>
      </c>
      <c r="D121" s="5" t="s">
        <v>9</v>
      </c>
      <c r="E121" s="5">
        <v>12115</v>
      </c>
      <c r="F121" s="5">
        <v>55</v>
      </c>
    </row>
    <row r="122" spans="1:6" ht="14.25" customHeight="1" x14ac:dyDescent="0.35">
      <c r="A122" s="4">
        <v>45486</v>
      </c>
      <c r="B122" s="5" t="s">
        <v>6</v>
      </c>
      <c r="C122" s="7" t="s">
        <v>8</v>
      </c>
      <c r="D122" s="5" t="s">
        <v>9</v>
      </c>
      <c r="E122" s="5">
        <v>12116</v>
      </c>
      <c r="F122" s="5">
        <v>57</v>
      </c>
    </row>
    <row r="123" spans="1:6" ht="14.25" customHeight="1" x14ac:dyDescent="0.35">
      <c r="A123" s="4">
        <v>45492</v>
      </c>
      <c r="B123" s="5" t="s">
        <v>6</v>
      </c>
      <c r="C123" s="7" t="s">
        <v>8</v>
      </c>
      <c r="D123" s="5" t="s">
        <v>9</v>
      </c>
      <c r="E123" s="5">
        <v>12117</v>
      </c>
      <c r="F123" s="5">
        <v>52</v>
      </c>
    </row>
    <row r="124" spans="1:6" ht="14.25" customHeight="1" x14ac:dyDescent="0.35">
      <c r="A124" s="4">
        <v>45497</v>
      </c>
      <c r="B124" s="5" t="s">
        <v>6</v>
      </c>
      <c r="C124" s="7" t="s">
        <v>8</v>
      </c>
      <c r="D124" s="5" t="s">
        <v>9</v>
      </c>
      <c r="E124" s="5">
        <v>12118</v>
      </c>
      <c r="F124" s="5">
        <v>55</v>
      </c>
    </row>
    <row r="125" spans="1:6" ht="14.25" customHeight="1" x14ac:dyDescent="0.35">
      <c r="A125" s="4">
        <v>45499</v>
      </c>
      <c r="B125" s="5" t="s">
        <v>6</v>
      </c>
      <c r="C125" s="7" t="s">
        <v>15</v>
      </c>
      <c r="D125" s="5" t="s">
        <v>9</v>
      </c>
      <c r="E125" s="5">
        <v>12119</v>
      </c>
      <c r="F125" s="5">
        <v>50</v>
      </c>
    </row>
    <row r="126" spans="1:6" ht="14.25" customHeight="1" x14ac:dyDescent="0.35">
      <c r="A126" s="4">
        <v>45504</v>
      </c>
      <c r="B126" s="5" t="s">
        <v>6</v>
      </c>
      <c r="C126" s="5" t="s">
        <v>16</v>
      </c>
      <c r="D126" s="5" t="s">
        <v>9</v>
      </c>
      <c r="E126" s="5">
        <v>12120</v>
      </c>
      <c r="F126" s="5">
        <v>55</v>
      </c>
    </row>
    <row r="127" spans="1:6" ht="14.25" customHeight="1" x14ac:dyDescent="0.35">
      <c r="A127" s="4">
        <v>45510</v>
      </c>
      <c r="B127" s="5" t="s">
        <v>6</v>
      </c>
      <c r="C127" s="7" t="s">
        <v>8</v>
      </c>
      <c r="D127" s="5" t="s">
        <v>9</v>
      </c>
      <c r="E127" s="5">
        <v>12121</v>
      </c>
      <c r="F127" s="5">
        <v>55</v>
      </c>
    </row>
    <row r="128" spans="1:6" ht="14.25" customHeight="1" x14ac:dyDescent="0.35">
      <c r="A128" s="4">
        <v>45514</v>
      </c>
      <c r="B128" s="5" t="s">
        <v>6</v>
      </c>
      <c r="C128" s="7" t="s">
        <v>8</v>
      </c>
      <c r="D128" s="5" t="s">
        <v>9</v>
      </c>
      <c r="E128" s="5">
        <v>12122</v>
      </c>
      <c r="F128" s="5">
        <v>51</v>
      </c>
    </row>
    <row r="129" spans="1:6" ht="14.25" customHeight="1" x14ac:dyDescent="0.35">
      <c r="A129" s="4">
        <v>45520</v>
      </c>
      <c r="B129" s="5" t="s">
        <v>6</v>
      </c>
      <c r="C129" s="5" t="s">
        <v>16</v>
      </c>
      <c r="D129" s="5" t="s">
        <v>9</v>
      </c>
      <c r="E129" s="5">
        <v>12123</v>
      </c>
      <c r="F129" s="5">
        <v>54</v>
      </c>
    </row>
    <row r="130" spans="1:6" ht="14.25" customHeight="1" x14ac:dyDescent="0.35">
      <c r="A130" s="4">
        <v>45530</v>
      </c>
      <c r="B130" s="5" t="s">
        <v>6</v>
      </c>
      <c r="C130" s="7" t="s">
        <v>8</v>
      </c>
      <c r="D130" s="5" t="s">
        <v>9</v>
      </c>
      <c r="E130" s="5">
        <v>12124</v>
      </c>
      <c r="F130" s="5">
        <v>53</v>
      </c>
    </row>
    <row r="131" spans="1:6" ht="14.25" customHeight="1" x14ac:dyDescent="0.35">
      <c r="A131" s="4">
        <v>45533</v>
      </c>
      <c r="B131" s="5" t="s">
        <v>6</v>
      </c>
      <c r="C131" s="7" t="s">
        <v>8</v>
      </c>
      <c r="D131" s="5" t="s">
        <v>9</v>
      </c>
      <c r="E131" s="5">
        <v>12125</v>
      </c>
      <c r="F131" s="5">
        <v>50</v>
      </c>
    </row>
    <row r="132" spans="1:6" ht="14.25" customHeight="1" x14ac:dyDescent="0.35">
      <c r="A132" s="4">
        <v>45538</v>
      </c>
      <c r="B132" s="5" t="s">
        <v>6</v>
      </c>
      <c r="C132" s="5" t="s">
        <v>16</v>
      </c>
      <c r="D132" s="5" t="s">
        <v>9</v>
      </c>
      <c r="E132" s="5">
        <v>12126</v>
      </c>
      <c r="F132" s="5">
        <v>50</v>
      </c>
    </row>
    <row r="133" spans="1:6" ht="14.25" customHeight="1" x14ac:dyDescent="0.35">
      <c r="A133" s="4">
        <v>45540</v>
      </c>
      <c r="B133" s="5" t="s">
        <v>6</v>
      </c>
      <c r="C133" s="5" t="s">
        <v>16</v>
      </c>
      <c r="D133" s="5" t="s">
        <v>9</v>
      </c>
      <c r="E133" s="5">
        <v>12127</v>
      </c>
      <c r="F133" s="5">
        <v>50</v>
      </c>
    </row>
    <row r="134" spans="1:6" ht="14.25" customHeight="1" x14ac:dyDescent="0.35">
      <c r="A134" s="4">
        <v>45546</v>
      </c>
      <c r="B134" s="5" t="s">
        <v>6</v>
      </c>
      <c r="C134" s="7" t="s">
        <v>8</v>
      </c>
      <c r="D134" s="5" t="s">
        <v>9</v>
      </c>
      <c r="E134" s="5">
        <v>12128</v>
      </c>
      <c r="F134" s="5">
        <v>50</v>
      </c>
    </row>
    <row r="135" spans="1:6" ht="14.25" customHeight="1" x14ac:dyDescent="0.35">
      <c r="A135" s="4">
        <v>45551</v>
      </c>
      <c r="B135" s="5" t="s">
        <v>6</v>
      </c>
      <c r="C135" s="7" t="s">
        <v>8</v>
      </c>
      <c r="D135" s="5" t="s">
        <v>9</v>
      </c>
      <c r="E135" s="5">
        <v>12129</v>
      </c>
      <c r="F135" s="5">
        <v>54</v>
      </c>
    </row>
    <row r="136" spans="1:6" ht="14.25" customHeight="1" x14ac:dyDescent="0.35">
      <c r="A136" s="4">
        <v>45560</v>
      </c>
      <c r="B136" s="5" t="s">
        <v>6</v>
      </c>
      <c r="C136" s="7" t="s">
        <v>8</v>
      </c>
      <c r="D136" s="5" t="s">
        <v>9</v>
      </c>
      <c r="E136" s="5">
        <v>12130</v>
      </c>
      <c r="F136" s="5">
        <v>52</v>
      </c>
    </row>
    <row r="137" spans="1:6" ht="14.25" customHeight="1" x14ac:dyDescent="0.35">
      <c r="A137" s="4">
        <v>45565</v>
      </c>
      <c r="B137" s="5" t="s">
        <v>6</v>
      </c>
      <c r="C137" s="7" t="s">
        <v>8</v>
      </c>
      <c r="D137" s="5" t="s">
        <v>9</v>
      </c>
      <c r="E137" s="5">
        <v>12131</v>
      </c>
      <c r="F137" s="5">
        <v>54</v>
      </c>
    </row>
    <row r="138" spans="1:6" ht="14.25" customHeight="1" x14ac:dyDescent="0.35">
      <c r="A138" s="4">
        <v>45570</v>
      </c>
      <c r="B138" s="5" t="s">
        <v>6</v>
      </c>
      <c r="C138" s="7" t="s">
        <v>8</v>
      </c>
      <c r="D138" s="5" t="s">
        <v>9</v>
      </c>
      <c r="E138" s="5">
        <v>12132</v>
      </c>
      <c r="F138" s="5">
        <v>58</v>
      </c>
    </row>
    <row r="139" spans="1:6" ht="14.25" customHeight="1" x14ac:dyDescent="0.35">
      <c r="A139" s="4">
        <v>45573</v>
      </c>
      <c r="B139" s="5" t="s">
        <v>6</v>
      </c>
      <c r="C139" s="7" t="s">
        <v>8</v>
      </c>
      <c r="D139" s="5" t="s">
        <v>9</v>
      </c>
      <c r="E139" s="5">
        <v>12133</v>
      </c>
      <c r="F139" s="5">
        <v>55</v>
      </c>
    </row>
    <row r="140" spans="1:6" ht="14.25" customHeight="1" x14ac:dyDescent="0.35">
      <c r="A140" s="4">
        <v>45577</v>
      </c>
      <c r="B140" s="5" t="s">
        <v>6</v>
      </c>
      <c r="C140" s="7" t="s">
        <v>16</v>
      </c>
      <c r="D140" s="5" t="s">
        <v>9</v>
      </c>
      <c r="E140" s="5">
        <v>12134</v>
      </c>
      <c r="F140" s="5">
        <v>50</v>
      </c>
    </row>
    <row r="141" spans="1:6" ht="14.25" customHeight="1" x14ac:dyDescent="0.35">
      <c r="A141" s="4">
        <v>45581</v>
      </c>
      <c r="B141" s="5" t="s">
        <v>6</v>
      </c>
      <c r="C141" s="7" t="s">
        <v>16</v>
      </c>
      <c r="D141" s="5" t="s">
        <v>9</v>
      </c>
      <c r="E141" s="5">
        <v>12135</v>
      </c>
      <c r="F141" s="5">
        <v>50</v>
      </c>
    </row>
    <row r="142" spans="1:6" ht="14.25" customHeight="1" x14ac:dyDescent="0.35">
      <c r="A142" s="4">
        <v>45586</v>
      </c>
      <c r="B142" s="5" t="s">
        <v>6</v>
      </c>
      <c r="C142" s="7" t="s">
        <v>16</v>
      </c>
      <c r="D142" s="5" t="s">
        <v>9</v>
      </c>
      <c r="E142" s="5">
        <v>12136</v>
      </c>
      <c r="F142" s="5">
        <v>50</v>
      </c>
    </row>
    <row r="143" spans="1:6" ht="14.25" customHeight="1" x14ac:dyDescent="0.35">
      <c r="A143" s="4">
        <v>45591</v>
      </c>
      <c r="B143" s="5" t="s">
        <v>6</v>
      </c>
      <c r="C143" s="7" t="s">
        <v>8</v>
      </c>
      <c r="D143" s="5" t="s">
        <v>9</v>
      </c>
      <c r="E143" s="5">
        <v>12137</v>
      </c>
      <c r="F143" s="5">
        <v>60</v>
      </c>
    </row>
    <row r="144" spans="1:6" ht="14.25" customHeight="1" x14ac:dyDescent="0.35">
      <c r="A144" s="4">
        <v>45596</v>
      </c>
      <c r="B144" s="5" t="s">
        <v>6</v>
      </c>
      <c r="C144" s="7" t="s">
        <v>18</v>
      </c>
      <c r="D144" s="5" t="s">
        <v>9</v>
      </c>
      <c r="E144" s="5">
        <v>12138</v>
      </c>
      <c r="F144" s="5">
        <v>55</v>
      </c>
    </row>
    <row r="145" spans="1:6" ht="14.25" customHeight="1" x14ac:dyDescent="0.35">
      <c r="A145" s="4">
        <v>45602</v>
      </c>
      <c r="B145" s="5" t="s">
        <v>6</v>
      </c>
      <c r="C145" s="7" t="s">
        <v>8</v>
      </c>
      <c r="D145" s="5" t="s">
        <v>9</v>
      </c>
      <c r="E145" s="5">
        <v>12139</v>
      </c>
      <c r="F145" s="5">
        <v>55</v>
      </c>
    </row>
    <row r="146" spans="1:6" ht="14.25" customHeight="1" x14ac:dyDescent="0.35">
      <c r="A146" s="4">
        <v>45608</v>
      </c>
      <c r="B146" s="5" t="s">
        <v>6</v>
      </c>
      <c r="C146" s="7" t="s">
        <v>8</v>
      </c>
      <c r="D146" s="5" t="s">
        <v>9</v>
      </c>
      <c r="E146" s="5">
        <v>12140</v>
      </c>
      <c r="F146" s="5">
        <v>54</v>
      </c>
    </row>
    <row r="147" spans="1:6" ht="14.25" customHeight="1" x14ac:dyDescent="0.35">
      <c r="A147" s="4">
        <v>45612</v>
      </c>
      <c r="B147" s="5" t="s">
        <v>6</v>
      </c>
      <c r="C147" s="7" t="s">
        <v>8</v>
      </c>
      <c r="D147" s="5" t="s">
        <v>9</v>
      </c>
      <c r="E147" s="5">
        <v>12142</v>
      </c>
      <c r="F147" s="5">
        <v>54</v>
      </c>
    </row>
    <row r="148" spans="1:6" ht="14.25" customHeight="1" x14ac:dyDescent="0.35">
      <c r="A148" s="4">
        <v>45616</v>
      </c>
      <c r="B148" s="5" t="s">
        <v>6</v>
      </c>
      <c r="C148" s="7" t="s">
        <v>18</v>
      </c>
      <c r="D148" s="5" t="s">
        <v>9</v>
      </c>
      <c r="E148" s="5">
        <v>12143</v>
      </c>
      <c r="F148" s="5">
        <v>55</v>
      </c>
    </row>
    <row r="149" spans="1:6" ht="14.25" customHeight="1" x14ac:dyDescent="0.35">
      <c r="A149" s="4">
        <v>45621</v>
      </c>
      <c r="B149" s="5" t="s">
        <v>6</v>
      </c>
      <c r="C149" s="7" t="s">
        <v>8</v>
      </c>
      <c r="D149" s="5" t="s">
        <v>9</v>
      </c>
      <c r="E149" s="5">
        <v>12144</v>
      </c>
      <c r="F149" s="5">
        <v>52</v>
      </c>
    </row>
    <row r="150" spans="1:6" ht="14.25" customHeight="1" x14ac:dyDescent="0.35">
      <c r="A150" s="4">
        <v>45624</v>
      </c>
      <c r="B150" s="5" t="s">
        <v>6</v>
      </c>
      <c r="C150" s="7" t="s">
        <v>16</v>
      </c>
      <c r="D150" s="5" t="s">
        <v>9</v>
      </c>
      <c r="E150" s="5">
        <v>12145</v>
      </c>
      <c r="F150" s="5">
        <v>50</v>
      </c>
    </row>
    <row r="151" spans="1:6" ht="14.25" customHeight="1" x14ac:dyDescent="0.35">
      <c r="A151" s="4">
        <v>45630</v>
      </c>
      <c r="B151" s="5" t="s">
        <v>6</v>
      </c>
      <c r="C151" s="7" t="s">
        <v>8</v>
      </c>
      <c r="D151" s="5" t="s">
        <v>9</v>
      </c>
      <c r="E151" s="5">
        <v>12146</v>
      </c>
      <c r="F151" s="5">
        <v>58</v>
      </c>
    </row>
    <row r="152" spans="1:6" ht="14.25" customHeight="1" x14ac:dyDescent="0.35">
      <c r="A152" s="4">
        <v>45633</v>
      </c>
      <c r="B152" s="5" t="s">
        <v>6</v>
      </c>
      <c r="C152" s="7" t="s">
        <v>8</v>
      </c>
      <c r="D152" s="5" t="s">
        <v>9</v>
      </c>
      <c r="E152" s="5">
        <v>12147</v>
      </c>
      <c r="F152" s="5">
        <v>52</v>
      </c>
    </row>
    <row r="153" spans="1:6" ht="14.25" customHeight="1" x14ac:dyDescent="0.35">
      <c r="A153" s="4">
        <v>45636</v>
      </c>
      <c r="B153" s="5" t="s">
        <v>6</v>
      </c>
      <c r="C153" s="7" t="s">
        <v>18</v>
      </c>
      <c r="D153" s="5" t="s">
        <v>9</v>
      </c>
      <c r="E153" s="5">
        <v>12148</v>
      </c>
      <c r="F153" s="5">
        <v>50</v>
      </c>
    </row>
    <row r="154" spans="1:6" ht="14.25" customHeight="1" x14ac:dyDescent="0.35">
      <c r="A154" s="4">
        <v>45642</v>
      </c>
      <c r="B154" s="5" t="s">
        <v>6</v>
      </c>
      <c r="C154" s="7" t="s">
        <v>16</v>
      </c>
      <c r="D154" s="5" t="s">
        <v>9</v>
      </c>
      <c r="E154" s="5">
        <v>12149</v>
      </c>
      <c r="F154" s="5">
        <v>53</v>
      </c>
    </row>
    <row r="155" spans="1:6" ht="14.25" customHeight="1" x14ac:dyDescent="0.35">
      <c r="A155" s="4">
        <v>45646</v>
      </c>
      <c r="B155" s="5" t="s">
        <v>6</v>
      </c>
      <c r="C155" s="7" t="s">
        <v>8</v>
      </c>
      <c r="D155" s="5" t="s">
        <v>9</v>
      </c>
      <c r="E155" s="5">
        <v>12150</v>
      </c>
      <c r="F155" s="5">
        <v>55</v>
      </c>
    </row>
    <row r="156" spans="1:6" ht="14.25" customHeight="1" x14ac:dyDescent="0.35">
      <c r="A156" s="4">
        <v>45650</v>
      </c>
      <c r="B156" s="5" t="s">
        <v>6</v>
      </c>
      <c r="C156" s="7" t="s">
        <v>8</v>
      </c>
      <c r="D156" s="5" t="s">
        <v>9</v>
      </c>
      <c r="E156" s="5">
        <v>1551</v>
      </c>
      <c r="F156" s="5">
        <v>60</v>
      </c>
    </row>
    <row r="157" spans="1:6" ht="14.25" customHeight="1" x14ac:dyDescent="0.35">
      <c r="A157" s="4">
        <v>45656</v>
      </c>
      <c r="B157" s="5" t="s">
        <v>6</v>
      </c>
      <c r="C157" s="7" t="s">
        <v>8</v>
      </c>
      <c r="D157" s="5" t="s">
        <v>9</v>
      </c>
      <c r="E157" s="5">
        <v>1552</v>
      </c>
      <c r="F157" s="5">
        <v>56</v>
      </c>
    </row>
    <row r="158" spans="1:6" ht="14.25" customHeight="1" x14ac:dyDescent="0.35">
      <c r="A158" s="4">
        <v>45661</v>
      </c>
      <c r="B158" s="5" t="s">
        <v>6</v>
      </c>
      <c r="C158" s="7" t="s">
        <v>8</v>
      </c>
      <c r="D158" s="5" t="s">
        <v>9</v>
      </c>
      <c r="E158" s="5">
        <v>1553</v>
      </c>
      <c r="F158" s="11">
        <v>55</v>
      </c>
    </row>
    <row r="159" spans="1:6" ht="14.25" customHeight="1" x14ac:dyDescent="0.35">
      <c r="A159" s="4">
        <v>45665</v>
      </c>
      <c r="B159" s="5" t="s">
        <v>6</v>
      </c>
      <c r="C159" s="7" t="s">
        <v>8</v>
      </c>
      <c r="D159" s="5" t="s">
        <v>9</v>
      </c>
      <c r="E159" s="5">
        <v>1554</v>
      </c>
      <c r="F159" s="11">
        <v>50</v>
      </c>
    </row>
    <row r="160" spans="1:6" ht="14.25" customHeight="1" x14ac:dyDescent="0.35">
      <c r="A160" s="4">
        <v>45668</v>
      </c>
      <c r="B160" s="5" t="s">
        <v>6</v>
      </c>
      <c r="C160" s="7" t="s">
        <v>8</v>
      </c>
      <c r="D160" s="5" t="s">
        <v>9</v>
      </c>
      <c r="E160" s="5">
        <v>1555</v>
      </c>
      <c r="F160" s="12">
        <v>55</v>
      </c>
    </row>
    <row r="161" spans="1:6" ht="14.25" customHeight="1" x14ac:dyDescent="0.35">
      <c r="A161" s="4">
        <v>45671</v>
      </c>
      <c r="B161" s="5" t="s">
        <v>6</v>
      </c>
      <c r="C161" s="7" t="s">
        <v>18</v>
      </c>
      <c r="D161" s="5" t="s">
        <v>9</v>
      </c>
      <c r="E161" s="5">
        <v>1556</v>
      </c>
      <c r="F161" s="12">
        <v>50</v>
      </c>
    </row>
    <row r="162" spans="1:6" ht="14.25" customHeight="1" x14ac:dyDescent="0.35">
      <c r="A162" s="4">
        <v>45674</v>
      </c>
      <c r="B162" s="5" t="s">
        <v>6</v>
      </c>
      <c r="C162" s="7" t="s">
        <v>15</v>
      </c>
      <c r="D162" s="5" t="s">
        <v>9</v>
      </c>
      <c r="E162" s="5">
        <v>1557</v>
      </c>
      <c r="F162" s="12">
        <v>50</v>
      </c>
    </row>
    <row r="163" spans="1:6" ht="14.25" customHeight="1" x14ac:dyDescent="0.35">
      <c r="A163" s="4">
        <v>45677</v>
      </c>
      <c r="B163" s="5" t="s">
        <v>6</v>
      </c>
      <c r="C163" s="7" t="s">
        <v>18</v>
      </c>
      <c r="D163" s="5" t="s">
        <v>9</v>
      </c>
      <c r="E163" s="5">
        <v>1558</v>
      </c>
      <c r="F163" s="12">
        <v>50</v>
      </c>
    </row>
    <row r="164" spans="1:6" ht="14.25" customHeight="1" x14ac:dyDescent="0.35">
      <c r="A164" s="4">
        <v>45679</v>
      </c>
      <c r="B164" s="5" t="s">
        <v>6</v>
      </c>
      <c r="C164" s="7" t="s">
        <v>18</v>
      </c>
      <c r="D164" s="5" t="s">
        <v>9</v>
      </c>
      <c r="E164" s="5">
        <v>1559</v>
      </c>
      <c r="F164" s="12">
        <v>48</v>
      </c>
    </row>
    <row r="165" spans="1:6" ht="14.25" customHeight="1" x14ac:dyDescent="0.35">
      <c r="A165" s="4">
        <v>45681</v>
      </c>
      <c r="B165" s="5" t="s">
        <v>6</v>
      </c>
      <c r="C165" s="7" t="s">
        <v>18</v>
      </c>
      <c r="D165" s="5" t="s">
        <v>9</v>
      </c>
      <c r="E165" s="5">
        <v>1560</v>
      </c>
      <c r="F165" s="12">
        <v>51.5</v>
      </c>
    </row>
    <row r="166" spans="1:6" ht="14.25" customHeight="1" x14ac:dyDescent="0.35">
      <c r="A166" s="9">
        <v>45686</v>
      </c>
      <c r="B166" s="5" t="s">
        <v>6</v>
      </c>
      <c r="C166" s="7" t="s">
        <v>18</v>
      </c>
      <c r="D166" s="5" t="s">
        <v>9</v>
      </c>
      <c r="E166" s="5">
        <v>1561</v>
      </c>
      <c r="F166" s="12">
        <v>50</v>
      </c>
    </row>
    <row r="167" spans="1:6" ht="14.25" customHeight="1" x14ac:dyDescent="0.35">
      <c r="A167" s="4">
        <v>45689</v>
      </c>
      <c r="B167" s="5" t="s">
        <v>6</v>
      </c>
      <c r="C167" s="7" t="s">
        <v>18</v>
      </c>
      <c r="D167" s="5" t="s">
        <v>9</v>
      </c>
      <c r="E167" s="5">
        <v>1562</v>
      </c>
      <c r="F167" s="12">
        <v>55</v>
      </c>
    </row>
    <row r="168" spans="1:6" ht="14.25" customHeight="1" x14ac:dyDescent="0.35">
      <c r="A168" s="4">
        <v>45693</v>
      </c>
      <c r="B168" s="5" t="s">
        <v>6</v>
      </c>
      <c r="C168" s="7" t="s">
        <v>8</v>
      </c>
      <c r="D168" s="5" t="s">
        <v>9</v>
      </c>
      <c r="E168" s="5">
        <v>1563</v>
      </c>
      <c r="F168" s="12">
        <v>55</v>
      </c>
    </row>
    <row r="169" spans="1:6" ht="14.25" customHeight="1" x14ac:dyDescent="0.35">
      <c r="A169" s="4">
        <v>45695</v>
      </c>
      <c r="B169" s="5" t="s">
        <v>6</v>
      </c>
      <c r="C169" s="7" t="s">
        <v>18</v>
      </c>
      <c r="D169" s="5" t="s">
        <v>9</v>
      </c>
      <c r="E169" s="5">
        <v>1564</v>
      </c>
      <c r="F169" s="12">
        <v>56</v>
      </c>
    </row>
    <row r="170" spans="1:6" ht="14.25" customHeight="1" x14ac:dyDescent="0.35">
      <c r="A170" s="4">
        <v>45698</v>
      </c>
      <c r="B170" s="5" t="s">
        <v>6</v>
      </c>
      <c r="C170" s="7" t="s">
        <v>15</v>
      </c>
      <c r="D170" s="5" t="s">
        <v>9</v>
      </c>
      <c r="E170" s="5">
        <v>1565</v>
      </c>
      <c r="F170" s="11">
        <v>54</v>
      </c>
    </row>
    <row r="171" spans="1:6" ht="14.25" customHeight="1" x14ac:dyDescent="0.35">
      <c r="A171" s="4">
        <v>45701</v>
      </c>
      <c r="B171" s="5" t="s">
        <v>6</v>
      </c>
      <c r="C171" s="7" t="s">
        <v>15</v>
      </c>
      <c r="D171" s="5" t="s">
        <v>9</v>
      </c>
      <c r="E171" s="5">
        <v>1566</v>
      </c>
      <c r="F171" s="12">
        <v>52</v>
      </c>
    </row>
    <row r="172" spans="1:6" ht="14.25" customHeight="1" x14ac:dyDescent="0.35">
      <c r="A172" s="4">
        <v>45707</v>
      </c>
      <c r="B172" s="5" t="s">
        <v>6</v>
      </c>
      <c r="C172" s="7" t="s">
        <v>18</v>
      </c>
      <c r="D172" s="5" t="s">
        <v>9</v>
      </c>
      <c r="E172" s="5">
        <v>1567</v>
      </c>
      <c r="F172" s="12">
        <v>50</v>
      </c>
    </row>
    <row r="173" spans="1:6" ht="14.25" customHeight="1" x14ac:dyDescent="0.35">
      <c r="A173" s="4">
        <v>45710</v>
      </c>
      <c r="B173" s="5" t="s">
        <v>6</v>
      </c>
      <c r="C173" s="7" t="s">
        <v>18</v>
      </c>
      <c r="D173" s="5" t="s">
        <v>9</v>
      </c>
      <c r="E173" s="5">
        <v>1568</v>
      </c>
      <c r="F173" s="12">
        <v>48</v>
      </c>
    </row>
    <row r="174" spans="1:6" ht="14.25" customHeight="1" x14ac:dyDescent="0.35">
      <c r="A174" s="4">
        <v>45714</v>
      </c>
      <c r="B174" s="5" t="s">
        <v>6</v>
      </c>
      <c r="C174" s="7" t="s">
        <v>18</v>
      </c>
      <c r="D174" s="5" t="s">
        <v>9</v>
      </c>
      <c r="E174" s="5">
        <v>1569</v>
      </c>
      <c r="F174" s="12">
        <v>56</v>
      </c>
    </row>
    <row r="175" spans="1:6" ht="14.25" customHeight="1" x14ac:dyDescent="0.35">
      <c r="A175" s="4">
        <v>45717</v>
      </c>
      <c r="B175" s="5" t="s">
        <v>6</v>
      </c>
      <c r="C175" s="7" t="s">
        <v>18</v>
      </c>
      <c r="D175" s="5" t="s">
        <v>9</v>
      </c>
      <c r="E175" s="5">
        <v>1570</v>
      </c>
      <c r="F175" s="12">
        <v>51</v>
      </c>
    </row>
    <row r="176" spans="1:6" ht="14.25" customHeight="1" x14ac:dyDescent="0.35">
      <c r="A176" s="4">
        <v>45720</v>
      </c>
      <c r="B176" s="5" t="s">
        <v>6</v>
      </c>
      <c r="C176" s="7" t="s">
        <v>8</v>
      </c>
      <c r="D176" s="5" t="s">
        <v>9</v>
      </c>
      <c r="E176" s="5">
        <v>1571</v>
      </c>
      <c r="F176" s="11">
        <v>55</v>
      </c>
    </row>
    <row r="177" spans="1:6" ht="14.25" customHeight="1" x14ac:dyDescent="0.35">
      <c r="A177" s="4">
        <v>45723</v>
      </c>
      <c r="B177" s="5" t="s">
        <v>6</v>
      </c>
      <c r="C177" s="7" t="s">
        <v>18</v>
      </c>
      <c r="D177" s="5" t="s">
        <v>9</v>
      </c>
      <c r="E177" s="5">
        <v>1572</v>
      </c>
      <c r="F177" s="12">
        <v>49</v>
      </c>
    </row>
    <row r="178" spans="1:6" ht="14.25" customHeight="1" x14ac:dyDescent="0.35">
      <c r="A178" s="4">
        <v>45728</v>
      </c>
      <c r="B178" s="5" t="s">
        <v>6</v>
      </c>
      <c r="C178" s="7" t="s">
        <v>8</v>
      </c>
      <c r="D178" s="5" t="s">
        <v>9</v>
      </c>
      <c r="E178" s="5">
        <v>1573</v>
      </c>
      <c r="F178" s="12">
        <v>42</v>
      </c>
    </row>
    <row r="179" spans="1:6" ht="14.25" customHeight="1" x14ac:dyDescent="0.35">
      <c r="A179" s="4">
        <v>45731</v>
      </c>
      <c r="B179" s="5" t="s">
        <v>6</v>
      </c>
      <c r="C179" s="7" t="s">
        <v>8</v>
      </c>
      <c r="D179" s="5" t="s">
        <v>9</v>
      </c>
      <c r="E179" s="5">
        <v>1574</v>
      </c>
      <c r="F179" s="12">
        <v>47</v>
      </c>
    </row>
    <row r="180" spans="1:6" ht="14.25" customHeight="1" x14ac:dyDescent="0.35">
      <c r="A180" s="4">
        <v>45736</v>
      </c>
      <c r="B180" s="5" t="s">
        <v>6</v>
      </c>
      <c r="C180" s="7" t="s">
        <v>18</v>
      </c>
      <c r="D180" s="5" t="s">
        <v>9</v>
      </c>
      <c r="E180" s="5">
        <v>1575</v>
      </c>
      <c r="F180" s="12">
        <v>52</v>
      </c>
    </row>
    <row r="181" spans="1:6" ht="14.25" customHeight="1" x14ac:dyDescent="0.35">
      <c r="A181" s="4">
        <v>45741</v>
      </c>
      <c r="B181" s="5" t="s">
        <v>6</v>
      </c>
      <c r="C181" s="7" t="s">
        <v>8</v>
      </c>
      <c r="D181" s="5" t="s">
        <v>9</v>
      </c>
      <c r="E181" s="5">
        <v>1576</v>
      </c>
      <c r="F181" s="12">
        <v>55</v>
      </c>
    </row>
    <row r="182" spans="1:6" ht="14.25" customHeight="1" x14ac:dyDescent="0.35">
      <c r="A182" s="4">
        <v>45745</v>
      </c>
      <c r="B182" s="5" t="s">
        <v>6</v>
      </c>
      <c r="C182" s="7" t="s">
        <v>18</v>
      </c>
      <c r="D182" s="5" t="s">
        <v>9</v>
      </c>
      <c r="E182" s="5">
        <v>1577</v>
      </c>
      <c r="F182" s="12">
        <v>50</v>
      </c>
    </row>
    <row r="183" spans="1:6" ht="14.25" customHeight="1" x14ac:dyDescent="0.35">
      <c r="A183" s="4">
        <v>45750</v>
      </c>
      <c r="B183" s="5" t="s">
        <v>6</v>
      </c>
      <c r="C183" s="7" t="s">
        <v>18</v>
      </c>
      <c r="D183" s="5" t="s">
        <v>9</v>
      </c>
      <c r="E183" s="5">
        <v>1578</v>
      </c>
      <c r="F183" s="12">
        <v>44</v>
      </c>
    </row>
    <row r="184" spans="1:6" ht="14.25" customHeight="1" x14ac:dyDescent="0.35">
      <c r="A184" s="4">
        <v>45752</v>
      </c>
      <c r="B184" s="5" t="s">
        <v>6</v>
      </c>
      <c r="C184" s="7" t="s">
        <v>18</v>
      </c>
      <c r="D184" s="5" t="s">
        <v>9</v>
      </c>
      <c r="E184" s="5">
        <v>1579</v>
      </c>
      <c r="F184" s="12">
        <v>45</v>
      </c>
    </row>
    <row r="185" spans="1:6" ht="14.25" customHeight="1" x14ac:dyDescent="0.35">
      <c r="A185" s="4">
        <v>45756</v>
      </c>
      <c r="B185" s="5" t="s">
        <v>6</v>
      </c>
      <c r="C185" s="7" t="s">
        <v>8</v>
      </c>
      <c r="D185" s="5" t="s">
        <v>9</v>
      </c>
      <c r="E185" s="5">
        <v>1580</v>
      </c>
      <c r="F185" s="12">
        <v>52</v>
      </c>
    </row>
    <row r="186" spans="1:6" ht="14.25" customHeight="1" x14ac:dyDescent="0.35">
      <c r="A186" s="4">
        <v>45758</v>
      </c>
      <c r="B186" s="5" t="s">
        <v>6</v>
      </c>
      <c r="C186" s="7" t="s">
        <v>18</v>
      </c>
      <c r="D186" s="5" t="s">
        <v>9</v>
      </c>
      <c r="E186" s="5">
        <v>1581</v>
      </c>
      <c r="F186" s="12">
        <v>47</v>
      </c>
    </row>
    <row r="187" spans="1:6" ht="14.25" customHeight="1" x14ac:dyDescent="0.35">
      <c r="A187" s="4">
        <v>45763</v>
      </c>
      <c r="B187" s="5" t="s">
        <v>6</v>
      </c>
      <c r="C187" s="7" t="s">
        <v>8</v>
      </c>
      <c r="D187" s="5" t="s">
        <v>9</v>
      </c>
      <c r="E187" s="5">
        <v>1582</v>
      </c>
      <c r="F187" s="12">
        <v>51</v>
      </c>
    </row>
    <row r="188" spans="1:6" ht="14.25" customHeight="1" x14ac:dyDescent="0.35">
      <c r="A188" s="4">
        <v>45768</v>
      </c>
      <c r="B188" s="5" t="s">
        <v>6</v>
      </c>
      <c r="C188" s="7" t="s">
        <v>8</v>
      </c>
      <c r="D188" s="5" t="s">
        <v>9</v>
      </c>
      <c r="E188" s="5">
        <v>1583</v>
      </c>
      <c r="F188" s="12">
        <v>55</v>
      </c>
    </row>
    <row r="189" spans="1:6" ht="14.25" customHeight="1" x14ac:dyDescent="0.35">
      <c r="A189" s="4">
        <v>45775</v>
      </c>
      <c r="B189" s="5" t="s">
        <v>6</v>
      </c>
      <c r="C189" s="7" t="s">
        <v>8</v>
      </c>
      <c r="D189" s="5" t="s">
        <v>9</v>
      </c>
      <c r="E189" s="5">
        <v>1584</v>
      </c>
      <c r="F189" s="12">
        <v>50</v>
      </c>
    </row>
    <row r="190" spans="1:6" ht="14.25" customHeight="1" x14ac:dyDescent="0.35">
      <c r="A190" s="4">
        <v>45776</v>
      </c>
      <c r="B190" s="5" t="s">
        <v>6</v>
      </c>
      <c r="C190" s="7" t="s">
        <v>18</v>
      </c>
      <c r="D190" s="5" t="s">
        <v>9</v>
      </c>
      <c r="E190" s="5">
        <v>1585</v>
      </c>
      <c r="F190" s="12">
        <v>50</v>
      </c>
    </row>
    <row r="191" spans="1:6" ht="14.25" customHeight="1" x14ac:dyDescent="0.35">
      <c r="A191" s="4">
        <v>45781</v>
      </c>
      <c r="B191" s="5" t="s">
        <v>6</v>
      </c>
      <c r="C191" s="7" t="s">
        <v>16</v>
      </c>
      <c r="D191" s="5" t="s">
        <v>9</v>
      </c>
      <c r="E191" s="5">
        <v>1586</v>
      </c>
      <c r="F191" s="12">
        <v>49</v>
      </c>
    </row>
    <row r="192" spans="1:6" ht="14.25" customHeight="1" x14ac:dyDescent="0.35">
      <c r="A192" s="4">
        <v>45785</v>
      </c>
      <c r="B192" s="5" t="s">
        <v>6</v>
      </c>
      <c r="C192" s="7" t="s">
        <v>16</v>
      </c>
      <c r="D192" s="5" t="s">
        <v>9</v>
      </c>
      <c r="E192" s="5">
        <v>1587</v>
      </c>
      <c r="F192" s="12">
        <v>50</v>
      </c>
    </row>
    <row r="193" spans="1:6" ht="14.25" customHeight="1" x14ac:dyDescent="0.35">
      <c r="A193" s="4">
        <v>45789</v>
      </c>
      <c r="B193" s="5" t="s">
        <v>6</v>
      </c>
      <c r="C193" s="7" t="s">
        <v>18</v>
      </c>
      <c r="D193" s="5" t="s">
        <v>9</v>
      </c>
      <c r="E193" s="5">
        <v>1589</v>
      </c>
      <c r="F193" s="12">
        <v>50</v>
      </c>
    </row>
    <row r="194" spans="1:6" ht="14.25" customHeight="1" x14ac:dyDescent="0.35">
      <c r="A194" s="4">
        <v>45793</v>
      </c>
      <c r="B194" s="5" t="s">
        <v>6</v>
      </c>
      <c r="C194" s="7" t="s">
        <v>18</v>
      </c>
      <c r="D194" s="5" t="s">
        <v>9</v>
      </c>
      <c r="E194" s="5">
        <v>1588</v>
      </c>
      <c r="F194" s="12">
        <v>50</v>
      </c>
    </row>
    <row r="195" spans="1:6" ht="14.25" customHeight="1" x14ac:dyDescent="0.35">
      <c r="A195" s="4">
        <v>45799</v>
      </c>
      <c r="B195" s="5" t="s">
        <v>6</v>
      </c>
      <c r="C195" s="7" t="s">
        <v>18</v>
      </c>
      <c r="D195" s="5" t="s">
        <v>9</v>
      </c>
      <c r="E195" s="5">
        <v>1590</v>
      </c>
      <c r="F195" s="12">
        <v>50</v>
      </c>
    </row>
    <row r="196" spans="1:6" ht="14.25" customHeight="1" x14ac:dyDescent="0.35">
      <c r="A196" s="4">
        <v>45803</v>
      </c>
      <c r="B196" s="5" t="s">
        <v>6</v>
      </c>
      <c r="C196" s="7" t="s">
        <v>18</v>
      </c>
      <c r="D196" s="5" t="s">
        <v>9</v>
      </c>
      <c r="E196" s="5">
        <v>1591</v>
      </c>
      <c r="F196" s="12">
        <v>50</v>
      </c>
    </row>
    <row r="197" spans="1:6" ht="14.25" customHeight="1" x14ac:dyDescent="0.35">
      <c r="A197" s="4">
        <v>45805</v>
      </c>
      <c r="B197" s="5" t="s">
        <v>6</v>
      </c>
      <c r="C197" s="7" t="s">
        <v>18</v>
      </c>
      <c r="D197" s="5" t="s">
        <v>9</v>
      </c>
      <c r="E197" s="5">
        <v>1592</v>
      </c>
      <c r="F197" s="12">
        <v>49</v>
      </c>
    </row>
    <row r="198" spans="1:6" ht="14.25" customHeight="1" x14ac:dyDescent="0.35">
      <c r="A198" s="4">
        <v>45808</v>
      </c>
      <c r="B198" s="5" t="s">
        <v>6</v>
      </c>
      <c r="C198" s="7" t="s">
        <v>18</v>
      </c>
      <c r="D198" s="5" t="s">
        <v>9</v>
      </c>
      <c r="E198" s="5">
        <v>1593</v>
      </c>
      <c r="F198" s="12">
        <v>48</v>
      </c>
    </row>
    <row r="199" spans="1:6" ht="14.25" customHeight="1" x14ac:dyDescent="0.35">
      <c r="A199" s="4">
        <v>45812</v>
      </c>
      <c r="B199" s="5" t="s">
        <v>6</v>
      </c>
      <c r="C199" s="7" t="s">
        <v>18</v>
      </c>
      <c r="D199" s="5" t="s">
        <v>9</v>
      </c>
      <c r="E199" s="5">
        <v>1594</v>
      </c>
      <c r="F199" s="12">
        <v>47</v>
      </c>
    </row>
    <row r="200" spans="1:6" ht="14.25" customHeight="1" x14ac:dyDescent="0.35">
      <c r="A200" s="4">
        <v>45814</v>
      </c>
      <c r="B200" s="5" t="s">
        <v>6</v>
      </c>
      <c r="C200" s="7" t="s">
        <v>18</v>
      </c>
      <c r="D200" s="5" t="s">
        <v>9</v>
      </c>
      <c r="E200" s="5">
        <v>1595</v>
      </c>
      <c r="F200" s="12">
        <v>47</v>
      </c>
    </row>
    <row r="201" spans="1:6" ht="14.25" customHeight="1" x14ac:dyDescent="0.35">
      <c r="A201" s="4">
        <v>45818</v>
      </c>
      <c r="B201" s="5" t="s">
        <v>6</v>
      </c>
      <c r="C201" s="7" t="s">
        <v>18</v>
      </c>
      <c r="D201" s="5" t="s">
        <v>9</v>
      </c>
      <c r="E201" s="5">
        <v>1596</v>
      </c>
      <c r="F201" s="12">
        <v>50</v>
      </c>
    </row>
    <row r="202" spans="1:6" ht="14.25" customHeight="1" x14ac:dyDescent="0.35">
      <c r="A202" s="4">
        <v>45824</v>
      </c>
      <c r="B202" s="5" t="s">
        <v>6</v>
      </c>
      <c r="C202" s="7" t="s">
        <v>18</v>
      </c>
      <c r="D202" s="5" t="s">
        <v>9</v>
      </c>
      <c r="E202" s="5">
        <v>1597</v>
      </c>
      <c r="F202" s="11">
        <v>47</v>
      </c>
    </row>
    <row r="203" spans="1:6" ht="14.25" customHeight="1" x14ac:dyDescent="0.35">
      <c r="A203" s="4">
        <v>45827</v>
      </c>
      <c r="B203" s="5" t="s">
        <v>6</v>
      </c>
      <c r="C203" s="7" t="s">
        <v>18</v>
      </c>
      <c r="D203" s="5" t="s">
        <v>9</v>
      </c>
      <c r="E203" s="5">
        <v>1598</v>
      </c>
      <c r="F203" s="11">
        <v>48</v>
      </c>
    </row>
    <row r="204" spans="1:6" ht="14.25" customHeight="1" x14ac:dyDescent="0.35">
      <c r="A204" s="4">
        <v>45833</v>
      </c>
      <c r="B204" s="5" t="s">
        <v>6</v>
      </c>
      <c r="C204" s="7" t="s">
        <v>18</v>
      </c>
      <c r="D204" s="5" t="s">
        <v>9</v>
      </c>
      <c r="E204" s="5">
        <v>1599</v>
      </c>
      <c r="F204" s="11">
        <v>50</v>
      </c>
    </row>
    <row r="205" spans="1:6" ht="14.25" customHeight="1" x14ac:dyDescent="0.35">
      <c r="A205" s="4">
        <v>45838</v>
      </c>
      <c r="B205" s="5" t="s">
        <v>6</v>
      </c>
      <c r="C205" s="7" t="s">
        <v>18</v>
      </c>
      <c r="D205" s="5" t="s">
        <v>9</v>
      </c>
      <c r="E205" s="5">
        <v>1600</v>
      </c>
      <c r="F205" s="12">
        <v>50</v>
      </c>
    </row>
    <row r="206" spans="1:6" ht="14.25" customHeight="1" x14ac:dyDescent="0.35">
      <c r="A206" s="4">
        <v>45841</v>
      </c>
      <c r="B206" s="5" t="s">
        <v>6</v>
      </c>
      <c r="C206" s="7" t="s">
        <v>18</v>
      </c>
      <c r="D206" s="5" t="s">
        <v>9</v>
      </c>
      <c r="E206" s="10">
        <v>2351</v>
      </c>
      <c r="F206" s="12">
        <v>48</v>
      </c>
    </row>
    <row r="207" spans="1:6" ht="14.25" customHeight="1" x14ac:dyDescent="0.35">
      <c r="A207" s="4">
        <v>45845</v>
      </c>
      <c r="B207" s="5" t="s">
        <v>6</v>
      </c>
      <c r="C207" s="7" t="s">
        <v>18</v>
      </c>
      <c r="D207" s="5" t="s">
        <v>9</v>
      </c>
      <c r="E207" s="10">
        <v>2352</v>
      </c>
      <c r="F207" s="12">
        <v>50</v>
      </c>
    </row>
    <row r="208" spans="1:6" ht="14.25" customHeight="1" x14ac:dyDescent="0.35">
      <c r="A208" s="4">
        <v>45847</v>
      </c>
      <c r="B208" s="5" t="s">
        <v>6</v>
      </c>
      <c r="C208" s="7" t="s">
        <v>18</v>
      </c>
      <c r="D208" s="5" t="s">
        <v>9</v>
      </c>
      <c r="E208" s="10">
        <v>2353</v>
      </c>
      <c r="F208" s="12">
        <v>48</v>
      </c>
    </row>
    <row r="209" spans="1:6" ht="14.25" customHeight="1" x14ac:dyDescent="0.35">
      <c r="A209" s="4">
        <v>45848</v>
      </c>
      <c r="B209" s="5" t="s">
        <v>6</v>
      </c>
      <c r="C209" s="7" t="s">
        <v>18</v>
      </c>
      <c r="D209" s="5" t="s">
        <v>9</v>
      </c>
      <c r="E209" s="5">
        <v>2354</v>
      </c>
      <c r="F209" s="11">
        <v>50</v>
      </c>
    </row>
    <row r="210" spans="1:6" ht="14.25" customHeight="1" x14ac:dyDescent="0.35">
      <c r="A210" s="4">
        <v>45853</v>
      </c>
      <c r="B210" s="5" t="s">
        <v>6</v>
      </c>
      <c r="C210" s="7" t="s">
        <v>18</v>
      </c>
      <c r="D210" s="5" t="s">
        <v>9</v>
      </c>
      <c r="E210" s="5">
        <v>2355</v>
      </c>
      <c r="F210" s="11">
        <v>54</v>
      </c>
    </row>
    <row r="211" spans="1:6" ht="14.25" customHeight="1" x14ac:dyDescent="0.35">
      <c r="A211" s="4">
        <v>45857</v>
      </c>
      <c r="B211" s="5" t="s">
        <v>6</v>
      </c>
      <c r="C211" s="7" t="s">
        <v>18</v>
      </c>
      <c r="D211" s="5" t="s">
        <v>9</v>
      </c>
      <c r="E211" s="5">
        <v>2356</v>
      </c>
      <c r="F211" s="12">
        <v>50</v>
      </c>
    </row>
    <row r="212" spans="1:6" ht="14.25" customHeight="1" x14ac:dyDescent="0.35">
      <c r="A212" s="4">
        <v>45861</v>
      </c>
      <c r="B212" s="5" t="s">
        <v>6</v>
      </c>
      <c r="C212" s="7" t="s">
        <v>18</v>
      </c>
      <c r="D212" s="5" t="s">
        <v>9</v>
      </c>
      <c r="E212" s="5">
        <v>2357</v>
      </c>
      <c r="F212" s="12">
        <v>48</v>
      </c>
    </row>
    <row r="213" spans="1:6" ht="14.25" customHeight="1" x14ac:dyDescent="0.35">
      <c r="A213" s="4">
        <v>45866</v>
      </c>
      <c r="B213" s="5" t="s">
        <v>6</v>
      </c>
      <c r="C213" s="7" t="s">
        <v>18</v>
      </c>
      <c r="D213" s="5" t="s">
        <v>9</v>
      </c>
      <c r="E213" s="5">
        <v>2358</v>
      </c>
      <c r="F213" s="12">
        <v>50</v>
      </c>
    </row>
    <row r="214" spans="1:6" ht="14.25" customHeight="1" x14ac:dyDescent="0.35">
      <c r="A214" s="4">
        <v>45868</v>
      </c>
      <c r="B214" s="5" t="s">
        <v>6</v>
      </c>
      <c r="C214" s="7" t="s">
        <v>18</v>
      </c>
      <c r="D214" s="5" t="s">
        <v>9</v>
      </c>
      <c r="E214" s="5">
        <v>2359</v>
      </c>
      <c r="F214" s="12">
        <v>50</v>
      </c>
    </row>
    <row r="215" spans="1:6" ht="14.25" customHeight="1" x14ac:dyDescent="0.35">
      <c r="A215" s="4">
        <v>45871</v>
      </c>
      <c r="B215" s="5" t="s">
        <v>6</v>
      </c>
      <c r="C215" s="7" t="s">
        <v>18</v>
      </c>
      <c r="D215" s="5" t="s">
        <v>9</v>
      </c>
      <c r="E215" s="5">
        <v>2360</v>
      </c>
      <c r="F215" s="12">
        <v>48</v>
      </c>
    </row>
    <row r="216" spans="1:6" ht="14.25" customHeight="1" x14ac:dyDescent="0.35">
      <c r="A216" s="4">
        <v>45875</v>
      </c>
      <c r="B216" s="5" t="s">
        <v>6</v>
      </c>
      <c r="C216" s="7" t="s">
        <v>18</v>
      </c>
      <c r="D216" s="5" t="s">
        <v>9</v>
      </c>
      <c r="E216" s="5">
        <v>2362</v>
      </c>
      <c r="F216" s="12">
        <v>50</v>
      </c>
    </row>
    <row r="217" spans="1:6" ht="14.25" customHeight="1" x14ac:dyDescent="0.35">
      <c r="A217" s="4">
        <v>45877</v>
      </c>
      <c r="B217" s="5" t="s">
        <v>6</v>
      </c>
      <c r="C217" s="7" t="s">
        <v>18</v>
      </c>
      <c r="D217" s="5" t="s">
        <v>9</v>
      </c>
      <c r="E217" s="5">
        <v>2363</v>
      </c>
      <c r="F217" s="12">
        <v>50</v>
      </c>
    </row>
    <row r="218" spans="1:6" ht="14.25" customHeight="1" x14ac:dyDescent="0.35">
      <c r="A218" s="4">
        <v>45881</v>
      </c>
      <c r="B218" s="5" t="s">
        <v>6</v>
      </c>
      <c r="C218" s="7" t="s">
        <v>18</v>
      </c>
      <c r="D218" s="5" t="s">
        <v>9</v>
      </c>
      <c r="E218" s="5">
        <v>2364</v>
      </c>
      <c r="F218" s="12">
        <v>52</v>
      </c>
    </row>
    <row r="219" spans="1:6" ht="14.25" customHeight="1" x14ac:dyDescent="0.35">
      <c r="A219" s="4">
        <v>45883</v>
      </c>
      <c r="B219" s="5" t="s">
        <v>6</v>
      </c>
      <c r="C219" s="7" t="s">
        <v>18</v>
      </c>
      <c r="D219" s="5" t="s">
        <v>9</v>
      </c>
      <c r="E219" s="5">
        <v>2365</v>
      </c>
      <c r="F219" s="12">
        <v>55</v>
      </c>
    </row>
    <row r="220" spans="1:6" ht="14.25" customHeight="1" x14ac:dyDescent="0.35">
      <c r="A220" s="4">
        <v>45887</v>
      </c>
      <c r="B220" s="5" t="s">
        <v>6</v>
      </c>
      <c r="C220" s="7" t="s">
        <v>18</v>
      </c>
      <c r="D220" s="5" t="s">
        <v>9</v>
      </c>
      <c r="E220" s="5">
        <v>2366</v>
      </c>
      <c r="F220" s="12">
        <v>55</v>
      </c>
    </row>
    <row r="221" spans="1:6" ht="14.25" customHeight="1" x14ac:dyDescent="0.35">
      <c r="A221" s="4">
        <v>45889</v>
      </c>
      <c r="B221" s="5" t="s">
        <v>6</v>
      </c>
      <c r="C221" s="7" t="s">
        <v>18</v>
      </c>
      <c r="D221" s="5" t="s">
        <v>9</v>
      </c>
      <c r="E221" s="5">
        <v>2367</v>
      </c>
      <c r="F221" s="12">
        <v>45</v>
      </c>
    </row>
    <row r="222" spans="1:6" s="16" customFormat="1" ht="14.25" customHeight="1" x14ac:dyDescent="0.35">
      <c r="A222" s="4">
        <v>45891</v>
      </c>
      <c r="B222" s="5" t="s">
        <v>6</v>
      </c>
      <c r="C222" s="7" t="s">
        <v>18</v>
      </c>
      <c r="D222" s="5" t="s">
        <v>9</v>
      </c>
      <c r="E222" s="5">
        <v>2368</v>
      </c>
      <c r="F222" s="12">
        <v>48</v>
      </c>
    </row>
    <row r="223" spans="1:6" ht="14.25" customHeight="1" x14ac:dyDescent="0.35">
      <c r="A223" s="4">
        <v>45894</v>
      </c>
      <c r="B223" s="5" t="s">
        <v>6</v>
      </c>
      <c r="C223" s="7" t="s">
        <v>18</v>
      </c>
      <c r="D223" s="5" t="s">
        <v>9</v>
      </c>
      <c r="E223" s="5">
        <v>2369</v>
      </c>
      <c r="F223" s="12">
        <v>50</v>
      </c>
    </row>
    <row r="224" spans="1:6" ht="14.25" customHeight="1" x14ac:dyDescent="0.35">
      <c r="A224" s="4">
        <v>45896</v>
      </c>
      <c r="B224" s="5" t="s">
        <v>6</v>
      </c>
      <c r="C224" s="7" t="s">
        <v>18</v>
      </c>
      <c r="D224" s="5" t="s">
        <v>9</v>
      </c>
      <c r="E224" s="5">
        <v>2370</v>
      </c>
      <c r="F224" s="12">
        <v>48</v>
      </c>
    </row>
    <row r="225" spans="1:6" ht="14.25" customHeight="1" x14ac:dyDescent="0.35">
      <c r="A225" s="4">
        <v>45899</v>
      </c>
      <c r="B225" s="5" t="s">
        <v>6</v>
      </c>
      <c r="C225" s="7" t="s">
        <v>18</v>
      </c>
      <c r="D225" s="5" t="s">
        <v>9</v>
      </c>
      <c r="E225" s="5">
        <v>2371</v>
      </c>
      <c r="F225" s="12">
        <v>45</v>
      </c>
    </row>
    <row r="226" spans="1:6" ht="14.25" customHeight="1" x14ac:dyDescent="0.35">
      <c r="A226" s="4">
        <v>45902</v>
      </c>
      <c r="B226" s="5" t="s">
        <v>6</v>
      </c>
      <c r="C226" s="7" t="s">
        <v>18</v>
      </c>
      <c r="D226" s="5" t="s">
        <v>9</v>
      </c>
      <c r="E226" s="5">
        <v>2372</v>
      </c>
      <c r="F226" s="12">
        <v>51</v>
      </c>
    </row>
    <row r="227" spans="1:6" ht="14.25" customHeight="1" x14ac:dyDescent="0.35">
      <c r="A227" s="4">
        <v>45909</v>
      </c>
      <c r="B227" s="5" t="s">
        <v>6</v>
      </c>
      <c r="C227" s="7" t="s">
        <v>18</v>
      </c>
      <c r="D227" s="5" t="s">
        <v>9</v>
      </c>
      <c r="E227" s="5">
        <v>2373</v>
      </c>
      <c r="F227" s="12">
        <v>60</v>
      </c>
    </row>
    <row r="228" spans="1:6" ht="14.25" customHeight="1" x14ac:dyDescent="0.35">
      <c r="A228" s="14">
        <v>45920</v>
      </c>
      <c r="B228" s="13" t="s">
        <v>6</v>
      </c>
      <c r="C228" s="15" t="s">
        <v>19</v>
      </c>
      <c r="D228" s="13" t="s">
        <v>9</v>
      </c>
      <c r="E228" s="13">
        <v>2374</v>
      </c>
      <c r="F228" s="12">
        <v>64</v>
      </c>
    </row>
    <row r="229" spans="1:6" ht="14.25" customHeight="1" x14ac:dyDescent="0.35">
      <c r="A229" s="4">
        <v>45930</v>
      </c>
      <c r="B229" s="5" t="s">
        <v>6</v>
      </c>
      <c r="C229" s="7" t="s">
        <v>18</v>
      </c>
      <c r="D229" s="5" t="s">
        <v>9</v>
      </c>
      <c r="E229" s="5">
        <v>2375</v>
      </c>
      <c r="F229" s="12">
        <v>64</v>
      </c>
    </row>
    <row r="230" spans="1:6" s="16" customFormat="1" ht="14.25" customHeight="1" x14ac:dyDescent="0.35">
      <c r="A230" s="4">
        <v>45933</v>
      </c>
      <c r="B230" s="5" t="s">
        <v>6</v>
      </c>
      <c r="C230" s="7" t="s">
        <v>18</v>
      </c>
      <c r="D230" s="5" t="s">
        <v>9</v>
      </c>
      <c r="E230" s="5">
        <v>2376</v>
      </c>
      <c r="F230" s="12">
        <v>40</v>
      </c>
    </row>
    <row r="231" spans="1:6" ht="14.25" customHeight="1" x14ac:dyDescent="0.35">
      <c r="A231" s="4">
        <v>45937</v>
      </c>
      <c r="B231" s="5" t="s">
        <v>6</v>
      </c>
      <c r="C231" s="7" t="s">
        <v>18</v>
      </c>
      <c r="D231" s="5" t="s">
        <v>9</v>
      </c>
      <c r="E231" s="5">
        <v>2377</v>
      </c>
      <c r="F231" s="12">
        <v>45</v>
      </c>
    </row>
    <row r="232" spans="1:6" ht="14.25" customHeight="1" x14ac:dyDescent="0.35">
      <c r="A232" s="4">
        <v>45939</v>
      </c>
      <c r="B232" s="5" t="s">
        <v>6</v>
      </c>
      <c r="C232" s="7" t="s">
        <v>18</v>
      </c>
      <c r="D232" s="5" t="s">
        <v>9</v>
      </c>
      <c r="E232" s="5">
        <v>2378</v>
      </c>
      <c r="F232" s="12">
        <v>52</v>
      </c>
    </row>
    <row r="233" spans="1:6" ht="14.25" customHeight="1" x14ac:dyDescent="0.35">
      <c r="A233" s="4">
        <v>45944</v>
      </c>
      <c r="B233" s="5" t="s">
        <v>6</v>
      </c>
      <c r="C233" s="7" t="s">
        <v>18</v>
      </c>
      <c r="D233" s="5" t="s">
        <v>9</v>
      </c>
      <c r="E233" s="5">
        <v>2379</v>
      </c>
      <c r="F233" s="12">
        <v>50</v>
      </c>
    </row>
    <row r="234" spans="1:6" ht="14.25" customHeight="1" x14ac:dyDescent="0.35">
      <c r="A234" s="4">
        <v>45947</v>
      </c>
      <c r="B234" s="5" t="s">
        <v>6</v>
      </c>
      <c r="C234" s="7" t="s">
        <v>18</v>
      </c>
      <c r="D234" s="5" t="s">
        <v>9</v>
      </c>
      <c r="E234" s="5">
        <v>2380</v>
      </c>
      <c r="F234" s="12">
        <v>50</v>
      </c>
    </row>
    <row r="235" spans="1:6" ht="14.25" customHeight="1" x14ac:dyDescent="0.35">
      <c r="A235" s="4">
        <v>45951</v>
      </c>
      <c r="B235" s="5" t="s">
        <v>6</v>
      </c>
      <c r="C235" s="7" t="s">
        <v>18</v>
      </c>
      <c r="D235" s="5" t="s">
        <v>9</v>
      </c>
      <c r="E235" s="5">
        <v>2381</v>
      </c>
      <c r="F235" s="12">
        <v>50</v>
      </c>
    </row>
    <row r="236" spans="1:6" ht="14.25" customHeight="1" x14ac:dyDescent="0.35">
      <c r="A236" s="14">
        <v>45952</v>
      </c>
      <c r="B236" s="13" t="s">
        <v>6</v>
      </c>
      <c r="C236" s="15" t="s">
        <v>18</v>
      </c>
      <c r="D236" s="13" t="s">
        <v>9</v>
      </c>
      <c r="E236" s="13">
        <v>2382</v>
      </c>
      <c r="F236" s="12">
        <v>50</v>
      </c>
    </row>
    <row r="237" spans="1:6" ht="14.25" customHeight="1" x14ac:dyDescent="0.35">
      <c r="A237" s="4">
        <v>45957</v>
      </c>
      <c r="B237" s="5" t="s">
        <v>6</v>
      </c>
      <c r="C237" s="7" t="s">
        <v>18</v>
      </c>
      <c r="D237" s="5" t="s">
        <v>9</v>
      </c>
      <c r="E237" s="5">
        <v>2383</v>
      </c>
      <c r="F237" s="12">
        <v>50</v>
      </c>
    </row>
    <row r="238" spans="1:6" ht="14.25" customHeight="1" x14ac:dyDescent="0.35">
      <c r="A238" s="4">
        <v>45960</v>
      </c>
      <c r="B238" s="5" t="s">
        <v>6</v>
      </c>
      <c r="C238" s="7" t="s">
        <v>18</v>
      </c>
      <c r="D238" s="5" t="s">
        <v>9</v>
      </c>
      <c r="E238" s="5">
        <v>2384</v>
      </c>
      <c r="F238" s="12">
        <v>50</v>
      </c>
    </row>
    <row r="239" spans="1:6" ht="14.25" customHeight="1" x14ac:dyDescent="0.35">
      <c r="A239" s="4">
        <v>45965</v>
      </c>
      <c r="B239" s="5" t="s">
        <v>6</v>
      </c>
      <c r="C239" s="7" t="s">
        <v>18</v>
      </c>
      <c r="D239" s="5" t="s">
        <v>9</v>
      </c>
      <c r="E239" s="5">
        <v>2385</v>
      </c>
      <c r="F239" s="12">
        <v>51</v>
      </c>
    </row>
    <row r="240" spans="1:6" ht="14.25" customHeight="1" x14ac:dyDescent="0.35">
      <c r="A240" s="4">
        <v>45979</v>
      </c>
      <c r="B240" s="5" t="s">
        <v>6</v>
      </c>
      <c r="C240" s="7" t="s">
        <v>18</v>
      </c>
      <c r="D240" s="5" t="s">
        <v>9</v>
      </c>
      <c r="E240" s="5">
        <v>2386</v>
      </c>
      <c r="F240" s="12">
        <v>50</v>
      </c>
    </row>
    <row r="241" spans="1:6" ht="14.25" customHeight="1" x14ac:dyDescent="0.35">
      <c r="A241" s="4">
        <v>45982</v>
      </c>
      <c r="B241" s="5" t="s">
        <v>6</v>
      </c>
      <c r="C241" s="7" t="s">
        <v>18</v>
      </c>
      <c r="D241" s="5" t="s">
        <v>9</v>
      </c>
      <c r="E241" s="5">
        <v>2387</v>
      </c>
      <c r="F241" s="11">
        <v>51</v>
      </c>
    </row>
    <row r="242" spans="1:6" ht="14.25" customHeight="1" x14ac:dyDescent="0.35">
      <c r="A242" s="4">
        <v>45987</v>
      </c>
      <c r="B242" s="5" t="s">
        <v>6</v>
      </c>
      <c r="C242" s="7" t="s">
        <v>18</v>
      </c>
      <c r="D242" s="5" t="s">
        <v>9</v>
      </c>
      <c r="E242" s="5">
        <v>2388</v>
      </c>
      <c r="F242" s="11">
        <v>50</v>
      </c>
    </row>
    <row r="243" spans="1:6" ht="14.25" customHeight="1" x14ac:dyDescent="0.35">
      <c r="A243" s="4">
        <v>45992</v>
      </c>
      <c r="B243" s="5" t="s">
        <v>6</v>
      </c>
      <c r="C243" s="7" t="s">
        <v>18</v>
      </c>
      <c r="D243" s="5" t="s">
        <v>9</v>
      </c>
      <c r="E243" s="5">
        <v>2390</v>
      </c>
      <c r="F243" s="13">
        <v>50</v>
      </c>
    </row>
    <row r="244" spans="1:6" ht="14.25" customHeight="1" x14ac:dyDescent="0.35">
      <c r="A244" s="4">
        <v>45995</v>
      </c>
      <c r="B244" s="5" t="s">
        <v>6</v>
      </c>
      <c r="C244" s="7" t="s">
        <v>18</v>
      </c>
      <c r="D244" s="5" t="s">
        <v>9</v>
      </c>
      <c r="E244" s="5">
        <v>2391</v>
      </c>
      <c r="F244" s="13">
        <v>50</v>
      </c>
    </row>
    <row r="245" spans="1:6" ht="14.25" customHeight="1" x14ac:dyDescent="0.35">
      <c r="A245" s="4">
        <v>46002</v>
      </c>
      <c r="B245" s="5" t="s">
        <v>6</v>
      </c>
      <c r="C245" s="7" t="s">
        <v>18</v>
      </c>
      <c r="D245" s="5" t="s">
        <v>9</v>
      </c>
      <c r="E245" s="5">
        <v>2392</v>
      </c>
      <c r="F245" s="13">
        <v>50</v>
      </c>
    </row>
    <row r="246" spans="1:6" ht="14.25" customHeight="1" x14ac:dyDescent="0.35">
      <c r="A246" s="4">
        <v>46007</v>
      </c>
      <c r="B246" s="5" t="s">
        <v>6</v>
      </c>
      <c r="C246" s="7" t="s">
        <v>18</v>
      </c>
      <c r="D246" s="5" t="s">
        <v>9</v>
      </c>
      <c r="E246" s="5">
        <v>2393</v>
      </c>
      <c r="F246" s="13">
        <v>51</v>
      </c>
    </row>
    <row r="247" spans="1:6" ht="14.25" customHeight="1" x14ac:dyDescent="0.35">
      <c r="A247" s="4">
        <v>46017</v>
      </c>
      <c r="B247" s="5" t="s">
        <v>6</v>
      </c>
      <c r="C247" s="25" t="s">
        <v>38</v>
      </c>
      <c r="D247" s="5" t="s">
        <v>9</v>
      </c>
      <c r="E247" s="5">
        <v>3759</v>
      </c>
      <c r="F247" s="13">
        <v>45</v>
      </c>
    </row>
    <row r="248" spans="1:6" ht="14.25" customHeight="1" x14ac:dyDescent="0.35">
      <c r="A248" s="4">
        <v>46022</v>
      </c>
      <c r="B248" s="5" t="s">
        <v>6</v>
      </c>
      <c r="C248" s="25" t="s">
        <v>16</v>
      </c>
      <c r="D248" s="5" t="s">
        <v>9</v>
      </c>
      <c r="E248" s="5">
        <v>3760</v>
      </c>
      <c r="F248" s="13">
        <v>50</v>
      </c>
    </row>
    <row r="249" spans="1:6" ht="14.25" customHeight="1" x14ac:dyDescent="0.35">
      <c r="A249" s="4">
        <v>46027</v>
      </c>
      <c r="B249" s="5" t="s">
        <v>6</v>
      </c>
      <c r="C249" s="7" t="s">
        <v>18</v>
      </c>
      <c r="D249" s="5" t="s">
        <v>9</v>
      </c>
      <c r="E249" s="5">
        <v>3761</v>
      </c>
      <c r="F249" s="13">
        <v>50</v>
      </c>
    </row>
    <row r="250" spans="1:6" ht="14.25" customHeight="1" x14ac:dyDescent="0.35">
      <c r="A250" s="4">
        <v>46031</v>
      </c>
      <c r="B250" s="5" t="s">
        <v>6</v>
      </c>
      <c r="C250" s="7" t="s">
        <v>18</v>
      </c>
      <c r="D250" s="5" t="s">
        <v>9</v>
      </c>
      <c r="E250" s="5">
        <v>2394</v>
      </c>
      <c r="F250" s="13">
        <v>50</v>
      </c>
    </row>
    <row r="251" spans="1:6" ht="14.25" customHeight="1" x14ac:dyDescent="0.35">
      <c r="A251" s="4">
        <v>46037</v>
      </c>
      <c r="B251" s="5" t="s">
        <v>6</v>
      </c>
      <c r="C251" s="7" t="s">
        <v>18</v>
      </c>
      <c r="D251" s="5" t="s">
        <v>9</v>
      </c>
      <c r="E251" s="5">
        <v>2396</v>
      </c>
      <c r="F251" s="13">
        <v>49</v>
      </c>
    </row>
    <row r="252" spans="1:6" ht="14.25" customHeight="1" x14ac:dyDescent="0.35">
      <c r="A252" s="4">
        <v>46046</v>
      </c>
      <c r="B252" s="5" t="s">
        <v>6</v>
      </c>
      <c r="C252" s="7" t="s">
        <v>18</v>
      </c>
      <c r="D252" s="5" t="s">
        <v>9</v>
      </c>
      <c r="E252" s="5">
        <v>2397</v>
      </c>
      <c r="F252" s="13">
        <v>50</v>
      </c>
    </row>
    <row r="253" spans="1:6" ht="14.25" customHeight="1" x14ac:dyDescent="0.35">
      <c r="A253" s="4">
        <v>46051</v>
      </c>
      <c r="B253" s="5" t="s">
        <v>6</v>
      </c>
      <c r="C253" s="7" t="s">
        <v>18</v>
      </c>
      <c r="D253" s="5" t="s">
        <v>9</v>
      </c>
      <c r="E253" s="5">
        <v>2398</v>
      </c>
      <c r="F253" s="13">
        <v>50</v>
      </c>
    </row>
    <row r="254" spans="1:6" ht="14.25" customHeight="1" x14ac:dyDescent="0.35">
      <c r="A254" s="4">
        <v>46035</v>
      </c>
      <c r="B254" s="5" t="s">
        <v>6</v>
      </c>
      <c r="C254" s="7" t="s">
        <v>18</v>
      </c>
      <c r="D254" s="5" t="s">
        <v>9</v>
      </c>
      <c r="E254" s="5">
        <v>2395</v>
      </c>
      <c r="F254" s="13">
        <v>45</v>
      </c>
    </row>
    <row r="255" spans="1:6" ht="14.25" customHeight="1" x14ac:dyDescent="0.35">
      <c r="A255" s="4">
        <v>46037</v>
      </c>
      <c r="B255" s="5" t="s">
        <v>6</v>
      </c>
      <c r="C255" s="7" t="s">
        <v>18</v>
      </c>
      <c r="D255" s="5" t="s">
        <v>9</v>
      </c>
      <c r="E255" s="5">
        <v>2396</v>
      </c>
      <c r="F255" s="13">
        <v>49</v>
      </c>
    </row>
    <row r="256" spans="1:6" ht="14.25" customHeight="1" x14ac:dyDescent="0.35">
      <c r="A256" s="4">
        <v>46046</v>
      </c>
      <c r="B256" s="5" t="s">
        <v>6</v>
      </c>
      <c r="C256" s="7" t="s">
        <v>18</v>
      </c>
      <c r="D256" s="5" t="s">
        <v>9</v>
      </c>
      <c r="E256" s="5">
        <v>2397</v>
      </c>
      <c r="F256" s="13">
        <v>50</v>
      </c>
    </row>
    <row r="257" spans="1:6" ht="14.25" customHeight="1" x14ac:dyDescent="0.35">
      <c r="A257" s="4">
        <v>46051</v>
      </c>
      <c r="B257" s="5" t="s">
        <v>6</v>
      </c>
      <c r="C257" s="7" t="s">
        <v>18</v>
      </c>
      <c r="D257" s="5" t="s">
        <v>9</v>
      </c>
      <c r="E257" s="5">
        <v>2398</v>
      </c>
      <c r="F257" s="13">
        <v>50</v>
      </c>
    </row>
    <row r="258" spans="1:6" ht="14.25" customHeight="1" x14ac:dyDescent="0.35">
      <c r="A258" s="4">
        <v>46062</v>
      </c>
      <c r="B258" s="5" t="s">
        <v>6</v>
      </c>
      <c r="C258" s="7" t="s">
        <v>18</v>
      </c>
      <c r="D258" s="5" t="s">
        <v>9</v>
      </c>
      <c r="E258" s="5">
        <v>1604</v>
      </c>
      <c r="F258" s="13">
        <v>49</v>
      </c>
    </row>
    <row r="259" spans="1:6" ht="14.25" customHeight="1" x14ac:dyDescent="0.35">
      <c r="A259" s="4">
        <v>46067</v>
      </c>
      <c r="B259" s="5" t="s">
        <v>6</v>
      </c>
      <c r="C259" s="7" t="s">
        <v>18</v>
      </c>
      <c r="D259" s="5" t="s">
        <v>9</v>
      </c>
      <c r="E259" s="5">
        <v>1605</v>
      </c>
      <c r="F259" s="13">
        <v>50</v>
      </c>
    </row>
    <row r="260" spans="1:6" ht="14.25" customHeight="1" x14ac:dyDescent="0.35">
      <c r="A260" s="4">
        <v>46071</v>
      </c>
      <c r="B260" s="5" t="s">
        <v>6</v>
      </c>
      <c r="C260" s="7" t="s">
        <v>18</v>
      </c>
      <c r="D260" s="5" t="s">
        <v>9</v>
      </c>
      <c r="E260" s="5">
        <v>1606</v>
      </c>
      <c r="F260" s="13">
        <v>50</v>
      </c>
    </row>
    <row r="261" spans="1:6" ht="14.25" customHeight="1" x14ac:dyDescent="0.35">
      <c r="A261" s="4">
        <v>46076</v>
      </c>
      <c r="B261" s="5" t="s">
        <v>6</v>
      </c>
      <c r="C261" s="7" t="s">
        <v>18</v>
      </c>
      <c r="D261" s="5" t="s">
        <v>9</v>
      </c>
      <c r="E261" s="5">
        <v>1607</v>
      </c>
      <c r="F261" s="13">
        <v>46</v>
      </c>
    </row>
    <row r="262" spans="1:6" ht="14.25" customHeight="1" x14ac:dyDescent="0.35">
      <c r="A262" s="4">
        <v>46080</v>
      </c>
      <c r="B262" s="5" t="s">
        <v>6</v>
      </c>
      <c r="C262" s="7" t="s">
        <v>18</v>
      </c>
      <c r="D262" s="5" t="s">
        <v>9</v>
      </c>
      <c r="E262" s="5">
        <v>1608</v>
      </c>
      <c r="F262" s="13">
        <v>50</v>
      </c>
    </row>
    <row r="263" spans="1:6" ht="14.25" customHeight="1" x14ac:dyDescent="0.35">
      <c r="A263" s="4">
        <v>46085</v>
      </c>
      <c r="B263" s="5" t="s">
        <v>6</v>
      </c>
      <c r="C263" s="7" t="s">
        <v>18</v>
      </c>
      <c r="D263" s="5" t="s">
        <v>9</v>
      </c>
      <c r="E263" s="5">
        <v>1609</v>
      </c>
      <c r="F263" s="13">
        <v>45</v>
      </c>
    </row>
    <row r="264" spans="1:6" ht="14.25" customHeight="1" x14ac:dyDescent="0.35">
      <c r="A264" s="4">
        <v>46090</v>
      </c>
      <c r="B264" s="5" t="s">
        <v>6</v>
      </c>
      <c r="C264" s="7" t="s">
        <v>18</v>
      </c>
      <c r="D264" s="5" t="s">
        <v>9</v>
      </c>
      <c r="E264" s="5">
        <v>1610</v>
      </c>
      <c r="F264" s="13">
        <v>45</v>
      </c>
    </row>
    <row r="265" spans="1:6" ht="14.25" customHeight="1" x14ac:dyDescent="0.35">
      <c r="A265" s="4">
        <v>46093</v>
      </c>
      <c r="B265" s="5" t="s">
        <v>6</v>
      </c>
      <c r="C265" s="7" t="s">
        <v>18</v>
      </c>
      <c r="D265" s="5" t="s">
        <v>9</v>
      </c>
      <c r="E265" s="5">
        <v>1611</v>
      </c>
      <c r="F265" s="13">
        <v>50</v>
      </c>
    </row>
    <row r="266" spans="1:6" ht="14.25" customHeight="1" x14ac:dyDescent="0.35">
      <c r="A266" s="4">
        <v>46097</v>
      </c>
      <c r="B266" s="5" t="s">
        <v>6</v>
      </c>
      <c r="C266" s="7" t="s">
        <v>18</v>
      </c>
      <c r="D266" s="5" t="s">
        <v>9</v>
      </c>
      <c r="E266" s="5">
        <v>1612</v>
      </c>
      <c r="F266" s="13">
        <v>50</v>
      </c>
    </row>
    <row r="267" spans="1:6" ht="14.25" customHeight="1" x14ac:dyDescent="0.35">
      <c r="A267" s="4">
        <v>46101</v>
      </c>
      <c r="B267" s="5" t="s">
        <v>6</v>
      </c>
      <c r="C267" s="7" t="s">
        <v>18</v>
      </c>
      <c r="D267" s="5" t="s">
        <v>9</v>
      </c>
      <c r="E267" s="5">
        <v>1613</v>
      </c>
      <c r="F267" s="13">
        <v>50</v>
      </c>
    </row>
    <row r="268" spans="1:6" ht="14.25" customHeight="1" x14ac:dyDescent="0.35">
      <c r="A268" s="4">
        <v>46106</v>
      </c>
      <c r="B268" s="5" t="s">
        <v>6</v>
      </c>
      <c r="C268" s="7" t="s">
        <v>18</v>
      </c>
      <c r="D268" s="5" t="s">
        <v>9</v>
      </c>
      <c r="E268" s="5">
        <v>1614</v>
      </c>
      <c r="F268" s="13">
        <v>50</v>
      </c>
    </row>
    <row r="269" spans="1:6" ht="14.25" customHeight="1" x14ac:dyDescent="0.35">
      <c r="A269" s="4">
        <v>46112</v>
      </c>
      <c r="B269" s="5" t="s">
        <v>6</v>
      </c>
      <c r="C269" s="7" t="s">
        <v>18</v>
      </c>
      <c r="D269" s="5" t="s">
        <v>9</v>
      </c>
      <c r="E269" s="5">
        <v>1615</v>
      </c>
      <c r="F269" s="13">
        <v>50</v>
      </c>
    </row>
    <row r="270" spans="1:6" ht="14.25" customHeight="1" x14ac:dyDescent="0.35">
      <c r="A270" s="4">
        <v>46121</v>
      </c>
      <c r="B270" s="5" t="s">
        <v>6</v>
      </c>
      <c r="C270" s="7" t="s">
        <v>18</v>
      </c>
      <c r="D270" s="5" t="s">
        <v>9</v>
      </c>
      <c r="E270" s="5">
        <v>1616</v>
      </c>
      <c r="F270" s="13">
        <v>50</v>
      </c>
    </row>
    <row r="271" spans="1:6" ht="14.25" customHeight="1" x14ac:dyDescent="0.35">
      <c r="A271" s="4">
        <v>46126</v>
      </c>
      <c r="B271" s="5" t="s">
        <v>6</v>
      </c>
      <c r="C271" s="7" t="s">
        <v>18</v>
      </c>
      <c r="D271" s="5" t="s">
        <v>9</v>
      </c>
      <c r="E271" s="5">
        <v>1617</v>
      </c>
      <c r="F271" s="13">
        <v>45</v>
      </c>
    </row>
    <row r="272" spans="1:6" ht="14.25" customHeight="1" x14ac:dyDescent="0.35">
      <c r="A272" s="4">
        <v>46134</v>
      </c>
      <c r="B272" s="5" t="s">
        <v>6</v>
      </c>
      <c r="C272" s="7" t="s">
        <v>18</v>
      </c>
      <c r="D272" s="5" t="s">
        <v>9</v>
      </c>
      <c r="E272" s="5">
        <v>1618</v>
      </c>
      <c r="F272" s="13">
        <v>50</v>
      </c>
    </row>
    <row r="273" spans="1:6" ht="14.25" customHeight="1" x14ac:dyDescent="0.35">
      <c r="A273" s="4">
        <v>46140</v>
      </c>
      <c r="B273" s="5" t="s">
        <v>6</v>
      </c>
      <c r="C273" s="7" t="s">
        <v>18</v>
      </c>
      <c r="D273" s="5" t="s">
        <v>9</v>
      </c>
      <c r="E273" s="5">
        <v>1619</v>
      </c>
      <c r="F273" s="13">
        <v>45</v>
      </c>
    </row>
    <row r="274" spans="1:6" ht="14.25" customHeight="1" x14ac:dyDescent="0.35">
      <c r="A274" s="4">
        <v>46144</v>
      </c>
      <c r="B274" s="5" t="s">
        <v>6</v>
      </c>
      <c r="C274" s="7" t="s">
        <v>18</v>
      </c>
      <c r="D274" s="5" t="s">
        <v>9</v>
      </c>
      <c r="E274" s="5">
        <v>1620</v>
      </c>
      <c r="F274" s="13">
        <v>50</v>
      </c>
    </row>
    <row r="275" spans="1:6" ht="14.25" customHeight="1" x14ac:dyDescent="0.35">
      <c r="A275" s="4">
        <v>46149</v>
      </c>
      <c r="B275" s="5" t="s">
        <v>6</v>
      </c>
      <c r="C275" s="7" t="s">
        <v>18</v>
      </c>
      <c r="D275" s="5" t="s">
        <v>9</v>
      </c>
      <c r="E275" s="5">
        <v>1621</v>
      </c>
      <c r="F275" s="13">
        <v>50</v>
      </c>
    </row>
    <row r="276" spans="1:6" ht="14.25" customHeight="1" x14ac:dyDescent="0.35">
      <c r="A276" s="4">
        <v>46155</v>
      </c>
      <c r="B276" s="5" t="s">
        <v>6</v>
      </c>
      <c r="C276" s="7" t="s">
        <v>18</v>
      </c>
      <c r="D276" s="5" t="s">
        <v>9</v>
      </c>
      <c r="E276" s="5">
        <v>1622</v>
      </c>
      <c r="F276" s="13">
        <v>50</v>
      </c>
    </row>
    <row r="277" spans="1:6" ht="14.25" customHeight="1" x14ac:dyDescent="0.35">
      <c r="A277" s="4">
        <v>46160</v>
      </c>
      <c r="B277" s="5" t="s">
        <v>6</v>
      </c>
      <c r="C277" s="7" t="s">
        <v>18</v>
      </c>
      <c r="D277" s="5" t="s">
        <v>9</v>
      </c>
      <c r="E277" s="5">
        <v>1623</v>
      </c>
      <c r="F277" s="13">
        <v>45</v>
      </c>
    </row>
    <row r="278" spans="1:6" ht="14.25" customHeight="1" x14ac:dyDescent="0.35">
      <c r="A278" s="4">
        <v>46164</v>
      </c>
      <c r="B278" s="5" t="s">
        <v>6</v>
      </c>
      <c r="C278" s="7" t="s">
        <v>18</v>
      </c>
      <c r="D278" s="5" t="s">
        <v>9</v>
      </c>
      <c r="E278" s="5">
        <v>1624</v>
      </c>
      <c r="F278" s="13">
        <v>50</v>
      </c>
    </row>
    <row r="279" spans="1:6" ht="14.25" customHeight="1" x14ac:dyDescent="0.35">
      <c r="A279" s="4">
        <v>46169</v>
      </c>
      <c r="B279" s="5" t="s">
        <v>6</v>
      </c>
      <c r="C279" s="7" t="s">
        <v>18</v>
      </c>
      <c r="D279" s="5" t="s">
        <v>9</v>
      </c>
      <c r="E279" s="5">
        <v>1625</v>
      </c>
      <c r="F279" s="13">
        <v>50</v>
      </c>
    </row>
    <row r="280" spans="1:6" ht="14.25" customHeight="1" x14ac:dyDescent="0.35">
      <c r="A280" s="4">
        <v>46176</v>
      </c>
      <c r="B280" s="5" t="s">
        <v>6</v>
      </c>
      <c r="C280" s="7" t="s">
        <v>18</v>
      </c>
      <c r="D280" s="5" t="s">
        <v>9</v>
      </c>
      <c r="E280" s="5">
        <v>1626</v>
      </c>
      <c r="F280" s="13">
        <v>50</v>
      </c>
    </row>
    <row r="281" spans="1:6" ht="14.25" customHeight="1" x14ac:dyDescent="0.35">
      <c r="A281" s="4">
        <v>46179</v>
      </c>
      <c r="B281" s="5" t="s">
        <v>6</v>
      </c>
      <c r="C281" s="7" t="s">
        <v>18</v>
      </c>
      <c r="D281" s="5" t="s">
        <v>9</v>
      </c>
      <c r="E281" s="5">
        <v>1627</v>
      </c>
      <c r="F281" s="13">
        <v>45</v>
      </c>
    </row>
    <row r="282" spans="1:6" ht="14.25" customHeight="1" x14ac:dyDescent="0.35">
      <c r="A282" s="4">
        <v>46183</v>
      </c>
      <c r="B282" s="5" t="s">
        <v>6</v>
      </c>
      <c r="C282" s="7" t="s">
        <v>18</v>
      </c>
      <c r="D282" s="5" t="s">
        <v>9</v>
      </c>
      <c r="E282" s="5">
        <v>1628</v>
      </c>
      <c r="F282" s="13">
        <v>50</v>
      </c>
    </row>
    <row r="283" spans="1:6" ht="14.25" customHeight="1" x14ac:dyDescent="0.35">
      <c r="A283" s="4">
        <v>46188</v>
      </c>
      <c r="B283" s="5" t="s">
        <v>6</v>
      </c>
      <c r="C283" s="7" t="s">
        <v>18</v>
      </c>
      <c r="D283" s="5" t="s">
        <v>9</v>
      </c>
      <c r="E283" s="5">
        <v>1629</v>
      </c>
      <c r="F283" s="13">
        <v>50</v>
      </c>
    </row>
    <row r="284" spans="1:6" ht="14.25" customHeight="1" x14ac:dyDescent="0.35">
      <c r="A284" s="4">
        <v>46192</v>
      </c>
      <c r="B284" s="5" t="s">
        <v>6</v>
      </c>
      <c r="C284" s="7" t="s">
        <v>18</v>
      </c>
      <c r="D284" s="5" t="s">
        <v>9</v>
      </c>
      <c r="E284" s="5">
        <v>1630</v>
      </c>
      <c r="F284" s="13">
        <v>51</v>
      </c>
    </row>
    <row r="285" spans="1:6" ht="14.25" customHeight="1" x14ac:dyDescent="0.35">
      <c r="A285" s="4">
        <v>46197</v>
      </c>
      <c r="B285" s="5" t="s">
        <v>6</v>
      </c>
      <c r="C285" s="7" t="s">
        <v>18</v>
      </c>
      <c r="D285" s="5" t="s">
        <v>9</v>
      </c>
      <c r="E285" s="5">
        <v>1631</v>
      </c>
      <c r="F285" s="13">
        <v>52</v>
      </c>
    </row>
    <row r="286" spans="1:6" ht="14.25" customHeight="1" x14ac:dyDescent="0.35">
      <c r="A286" s="4">
        <v>46199</v>
      </c>
      <c r="B286" s="5" t="s">
        <v>6</v>
      </c>
      <c r="C286" s="7" t="s">
        <v>18</v>
      </c>
      <c r="D286" s="5" t="s">
        <v>9</v>
      </c>
      <c r="E286" s="5">
        <v>1632</v>
      </c>
      <c r="F286" s="13">
        <v>50</v>
      </c>
    </row>
    <row r="287" spans="1:6" ht="14.25" customHeight="1" x14ac:dyDescent="0.35">
      <c r="A287" s="26">
        <v>46209</v>
      </c>
      <c r="B287" s="5" t="s">
        <v>6</v>
      </c>
      <c r="C287" s="7" t="s">
        <v>18</v>
      </c>
      <c r="D287" s="5" t="s">
        <v>9</v>
      </c>
      <c r="E287" s="5">
        <v>1633</v>
      </c>
      <c r="F287" s="13">
        <v>50</v>
      </c>
    </row>
    <row r="288" spans="1:6" ht="14.25" customHeight="1" x14ac:dyDescent="0.35">
      <c r="A288" s="26">
        <v>46212</v>
      </c>
      <c r="B288" s="5" t="s">
        <v>6</v>
      </c>
      <c r="C288" s="7" t="s">
        <v>18</v>
      </c>
      <c r="D288" s="5" t="s">
        <v>9</v>
      </c>
      <c r="E288" s="5">
        <v>1634</v>
      </c>
      <c r="F288" s="13">
        <v>46</v>
      </c>
    </row>
    <row r="289" spans="1:6" ht="14.25" customHeight="1" x14ac:dyDescent="0.35">
      <c r="A289" s="26">
        <v>46216</v>
      </c>
      <c r="B289" s="5" t="s">
        <v>6</v>
      </c>
      <c r="C289" s="7" t="s">
        <v>18</v>
      </c>
      <c r="D289" s="5" t="s">
        <v>9</v>
      </c>
      <c r="E289" s="5">
        <v>1635</v>
      </c>
      <c r="F289" s="13">
        <v>51</v>
      </c>
    </row>
    <row r="290" spans="1:6" ht="14.25" customHeight="1" x14ac:dyDescent="0.35">
      <c r="A290" s="26">
        <v>46220</v>
      </c>
      <c r="B290" s="5" t="s">
        <v>6</v>
      </c>
      <c r="C290" s="7" t="s">
        <v>18</v>
      </c>
      <c r="D290" s="5" t="s">
        <v>9</v>
      </c>
      <c r="E290" s="5">
        <v>1636</v>
      </c>
      <c r="F290" s="13">
        <v>50</v>
      </c>
    </row>
    <row r="291" spans="1:6" ht="14.25" customHeight="1" x14ac:dyDescent="0.35">
      <c r="A291" s="26">
        <v>46225</v>
      </c>
      <c r="B291" s="5" t="s">
        <v>6</v>
      </c>
      <c r="C291" s="7" t="s">
        <v>18</v>
      </c>
      <c r="D291" s="5" t="s">
        <v>9</v>
      </c>
      <c r="E291" s="5">
        <v>1637</v>
      </c>
      <c r="F291" s="13">
        <v>50</v>
      </c>
    </row>
    <row r="292" spans="1:6" ht="14.25" customHeight="1" x14ac:dyDescent="0.35">
      <c r="A292" s="4">
        <v>46228</v>
      </c>
      <c r="B292" s="5" t="s">
        <v>6</v>
      </c>
      <c r="C292" s="7" t="s">
        <v>18</v>
      </c>
      <c r="D292" s="5" t="s">
        <v>9</v>
      </c>
      <c r="E292" s="5">
        <v>1639</v>
      </c>
      <c r="F292" s="13">
        <v>50</v>
      </c>
    </row>
    <row r="293" spans="1:6" ht="14.25" customHeight="1" x14ac:dyDescent="0.35">
      <c r="A293" s="4">
        <v>46232</v>
      </c>
      <c r="B293" s="5" t="s">
        <v>6</v>
      </c>
      <c r="C293" s="7" t="s">
        <v>18</v>
      </c>
      <c r="D293" s="5" t="s">
        <v>9</v>
      </c>
      <c r="E293" s="5">
        <v>1640</v>
      </c>
      <c r="F293" s="13">
        <v>50</v>
      </c>
    </row>
    <row r="294" spans="1:6" ht="14.25" customHeight="1" x14ac:dyDescent="0.35">
      <c r="A294" s="4">
        <v>46245</v>
      </c>
      <c r="B294" s="5" t="s">
        <v>6</v>
      </c>
      <c r="C294" s="7" t="s">
        <v>18</v>
      </c>
      <c r="D294" s="27" t="s">
        <v>39</v>
      </c>
      <c r="E294" s="5">
        <v>1641</v>
      </c>
      <c r="F294" s="13">
        <v>80</v>
      </c>
    </row>
    <row r="295" spans="1:6" ht="14.25" customHeight="1" x14ac:dyDescent="0.35">
      <c r="A295" s="4">
        <v>46251</v>
      </c>
      <c r="B295" s="5" t="s">
        <v>6</v>
      </c>
      <c r="C295" s="7" t="s">
        <v>18</v>
      </c>
      <c r="D295" s="5" t="s">
        <v>9</v>
      </c>
      <c r="E295" s="5">
        <v>1642</v>
      </c>
      <c r="F295" s="13">
        <v>45</v>
      </c>
    </row>
    <row r="296" spans="1:6" ht="14.25" customHeight="1" x14ac:dyDescent="0.35">
      <c r="A296" s="4">
        <v>46254</v>
      </c>
      <c r="B296" s="5" t="s">
        <v>6</v>
      </c>
      <c r="C296" s="7" t="s">
        <v>18</v>
      </c>
      <c r="D296" s="5" t="s">
        <v>9</v>
      </c>
      <c r="E296" s="5">
        <v>1643</v>
      </c>
      <c r="F296" s="13">
        <v>50</v>
      </c>
    </row>
    <row r="297" spans="1:6" ht="14.25" customHeight="1" x14ac:dyDescent="0.35">
      <c r="A297" s="4">
        <v>46258</v>
      </c>
      <c r="B297" s="5" t="s">
        <v>6</v>
      </c>
      <c r="C297" s="7" t="s">
        <v>18</v>
      </c>
      <c r="D297" s="5" t="s">
        <v>9</v>
      </c>
      <c r="E297" s="5">
        <v>1644</v>
      </c>
      <c r="F297" s="13">
        <v>45</v>
      </c>
    </row>
    <row r="298" spans="1:6" ht="14.25" customHeight="1" x14ac:dyDescent="0.35">
      <c r="A298" s="4">
        <v>46261</v>
      </c>
      <c r="B298" s="5" t="s">
        <v>6</v>
      </c>
      <c r="C298" s="7" t="s">
        <v>18</v>
      </c>
      <c r="D298" s="5" t="s">
        <v>9</v>
      </c>
      <c r="E298" s="5">
        <v>1645</v>
      </c>
      <c r="F298" s="13">
        <v>52</v>
      </c>
    </row>
    <row r="299" spans="1:6" ht="14.25" customHeight="1" x14ac:dyDescent="0.35">
      <c r="A299" s="4">
        <v>46266</v>
      </c>
      <c r="B299" s="5" t="s">
        <v>6</v>
      </c>
      <c r="C299" s="7" t="s">
        <v>18</v>
      </c>
      <c r="D299" s="5" t="s">
        <v>9</v>
      </c>
      <c r="E299" s="5">
        <v>1646</v>
      </c>
      <c r="F299" s="13">
        <v>50</v>
      </c>
    </row>
    <row r="300" spans="1:6" ht="14.25" customHeight="1" x14ac:dyDescent="0.35">
      <c r="A300" s="4">
        <v>46270</v>
      </c>
      <c r="B300" s="5" t="s">
        <v>6</v>
      </c>
      <c r="C300" s="7" t="s">
        <v>18</v>
      </c>
      <c r="D300" s="5" t="s">
        <v>9</v>
      </c>
      <c r="E300" s="5">
        <v>1647</v>
      </c>
      <c r="F300" s="13">
        <v>48</v>
      </c>
    </row>
    <row r="301" spans="1:6" ht="14.25" customHeight="1" x14ac:dyDescent="0.35">
      <c r="A301" s="4">
        <v>46274</v>
      </c>
      <c r="B301" s="5" t="s">
        <v>6</v>
      </c>
      <c r="C301" s="7" t="s">
        <v>18</v>
      </c>
      <c r="D301" s="5" t="s">
        <v>9</v>
      </c>
      <c r="E301" s="5">
        <v>1648</v>
      </c>
      <c r="F301" s="13">
        <v>45</v>
      </c>
    </row>
    <row r="302" spans="1:6" ht="14.25" customHeight="1" x14ac:dyDescent="0.35">
      <c r="A302" s="4">
        <v>46279</v>
      </c>
      <c r="B302" s="5" t="s">
        <v>6</v>
      </c>
      <c r="C302" s="7" t="s">
        <v>18</v>
      </c>
      <c r="D302" s="5" t="s">
        <v>9</v>
      </c>
      <c r="E302" s="5">
        <v>1649</v>
      </c>
      <c r="F302" s="13">
        <v>50</v>
      </c>
    </row>
    <row r="303" spans="1:6" ht="14.25" customHeight="1" x14ac:dyDescent="0.35">
      <c r="A303" s="4">
        <v>46282</v>
      </c>
      <c r="B303" s="5" t="s">
        <v>6</v>
      </c>
      <c r="C303" s="7" t="s">
        <v>18</v>
      </c>
      <c r="D303" s="5" t="s">
        <v>9</v>
      </c>
      <c r="E303" s="5">
        <v>1650</v>
      </c>
      <c r="F303" s="13">
        <v>49</v>
      </c>
    </row>
    <row r="304" spans="1:6" ht="14.25" customHeight="1" x14ac:dyDescent="0.35">
      <c r="A304" s="4">
        <v>46291</v>
      </c>
      <c r="B304" s="5" t="s">
        <v>6</v>
      </c>
      <c r="C304" s="7" t="s">
        <v>18</v>
      </c>
      <c r="D304" s="5" t="s">
        <v>9</v>
      </c>
      <c r="E304" s="5">
        <v>3762</v>
      </c>
      <c r="F304" s="13">
        <v>50</v>
      </c>
    </row>
    <row r="305" spans="1:6" ht="14.25" customHeight="1" x14ac:dyDescent="0.35">
      <c r="A305" s="4">
        <v>46295</v>
      </c>
      <c r="B305" s="5" t="s">
        <v>6</v>
      </c>
      <c r="C305" s="7" t="s">
        <v>18</v>
      </c>
      <c r="D305" s="5" t="s">
        <v>9</v>
      </c>
      <c r="E305" s="5">
        <v>3763</v>
      </c>
      <c r="F305" s="13">
        <v>55</v>
      </c>
    </row>
    <row r="306" spans="1:6" ht="14.25" customHeight="1" x14ac:dyDescent="0.35">
      <c r="A306" s="4">
        <v>46300</v>
      </c>
      <c r="B306" s="5" t="s">
        <v>6</v>
      </c>
      <c r="C306" s="7" t="s">
        <v>18</v>
      </c>
      <c r="D306" s="5" t="s">
        <v>9</v>
      </c>
      <c r="E306" s="5">
        <v>3764</v>
      </c>
      <c r="F306" s="13">
        <v>45</v>
      </c>
    </row>
    <row r="307" spans="1:6" ht="14.25" customHeight="1" x14ac:dyDescent="0.35">
      <c r="A307" s="4">
        <v>46302</v>
      </c>
      <c r="B307" s="5" t="s">
        <v>6</v>
      </c>
      <c r="C307" s="7" t="s">
        <v>18</v>
      </c>
      <c r="D307" s="5" t="s">
        <v>9</v>
      </c>
      <c r="E307" s="5">
        <v>3765</v>
      </c>
      <c r="F307" s="13">
        <v>50</v>
      </c>
    </row>
    <row r="308" spans="1:6" ht="14.25" customHeight="1" x14ac:dyDescent="0.35">
      <c r="A308" s="4">
        <v>46305</v>
      </c>
      <c r="B308" s="5" t="s">
        <v>6</v>
      </c>
      <c r="C308" s="7" t="s">
        <v>18</v>
      </c>
      <c r="D308" s="5" t="s">
        <v>9</v>
      </c>
      <c r="E308" s="5">
        <v>3766</v>
      </c>
      <c r="F308" s="13">
        <v>45</v>
      </c>
    </row>
    <row r="309" spans="1:6" ht="14.25" customHeight="1" x14ac:dyDescent="0.35">
      <c r="A309" s="4">
        <v>46309</v>
      </c>
      <c r="B309" s="5" t="s">
        <v>6</v>
      </c>
      <c r="C309" s="7" t="s">
        <v>18</v>
      </c>
      <c r="D309" s="5" t="s">
        <v>9</v>
      </c>
      <c r="E309" s="5">
        <v>3767</v>
      </c>
      <c r="F309" s="13">
        <v>50</v>
      </c>
    </row>
    <row r="310" spans="1:6" ht="14.25" customHeight="1" x14ac:dyDescent="0.35">
      <c r="A310" s="4"/>
      <c r="B310" s="5" t="s">
        <v>6</v>
      </c>
      <c r="C310" s="7" t="s">
        <v>18</v>
      </c>
      <c r="D310" s="5" t="s">
        <v>9</v>
      </c>
      <c r="E310" s="5"/>
      <c r="F310" s="13"/>
    </row>
    <row r="311" spans="1:6" ht="14.25" customHeight="1" x14ac:dyDescent="0.35">
      <c r="A311" s="4"/>
      <c r="B311" s="5" t="s">
        <v>6</v>
      </c>
      <c r="C311" s="7" t="s">
        <v>18</v>
      </c>
      <c r="D311" s="5" t="s">
        <v>9</v>
      </c>
      <c r="E311" s="5"/>
      <c r="F311" s="13"/>
    </row>
    <row r="312" spans="1:6" ht="14.25" customHeight="1" x14ac:dyDescent="0.35">
      <c r="A312" s="4"/>
      <c r="B312" s="5" t="s">
        <v>6</v>
      </c>
      <c r="C312" s="7" t="s">
        <v>18</v>
      </c>
      <c r="D312" s="5" t="s">
        <v>9</v>
      </c>
      <c r="E312" s="5"/>
      <c r="F312" s="13"/>
    </row>
    <row r="313" spans="1:6" ht="14.25" customHeight="1" x14ac:dyDescent="0.35">
      <c r="A313" s="4"/>
      <c r="B313" s="5" t="s">
        <v>6</v>
      </c>
      <c r="C313" s="7" t="s">
        <v>18</v>
      </c>
      <c r="D313" s="5" t="s">
        <v>9</v>
      </c>
      <c r="E313" s="5"/>
      <c r="F313" s="13"/>
    </row>
    <row r="314" spans="1:6" ht="14.25" customHeight="1" x14ac:dyDescent="0.35">
      <c r="A314" s="4"/>
      <c r="B314" s="5" t="s">
        <v>6</v>
      </c>
      <c r="C314" s="7" t="s">
        <v>18</v>
      </c>
      <c r="D314" s="5" t="s">
        <v>9</v>
      </c>
      <c r="E314" s="5"/>
      <c r="F314" s="13"/>
    </row>
    <row r="315" spans="1:6" ht="14.25" customHeight="1" x14ac:dyDescent="0.35">
      <c r="A315" s="5"/>
      <c r="B315" s="5"/>
      <c r="C315" s="5"/>
      <c r="D315" s="5"/>
      <c r="E315" s="5"/>
      <c r="F315" s="5">
        <f>SUBTOTAL(109,(F10:F314))</f>
        <v>15401</v>
      </c>
    </row>
    <row r="316" spans="1:6" ht="14.25" customHeight="1" x14ac:dyDescent="0.35">
      <c r="A316" s="5"/>
      <c r="B316" s="5"/>
      <c r="C316" s="5"/>
      <c r="D316" s="5"/>
      <c r="E316" s="5"/>
      <c r="F316" s="5"/>
    </row>
    <row r="317" spans="1:6" ht="14.25" customHeight="1" x14ac:dyDescent="0.35"/>
    <row r="318" spans="1:6" ht="14.25" customHeight="1" x14ac:dyDescent="0.35"/>
    <row r="319" spans="1:6" ht="14.25" customHeight="1" x14ac:dyDescent="0.35"/>
    <row r="320" spans="1:6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  <row r="1001" ht="14.25" customHeight="1" x14ac:dyDescent="0.35"/>
    <row r="1002" ht="14.25" customHeight="1" x14ac:dyDescent="0.35"/>
    <row r="1003" ht="14.25" customHeight="1" x14ac:dyDescent="0.35"/>
    <row r="1004" ht="14.25" customHeight="1" x14ac:dyDescent="0.35"/>
    <row r="1005" ht="14.25" customHeight="1" x14ac:dyDescent="0.35"/>
    <row r="1006" ht="14.25" customHeight="1" x14ac:dyDescent="0.35"/>
    <row r="1007" ht="14.25" customHeight="1" x14ac:dyDescent="0.35"/>
    <row r="1008" ht="14.25" customHeight="1" x14ac:dyDescent="0.35"/>
    <row r="1009" ht="14.25" customHeight="1" x14ac:dyDescent="0.35"/>
    <row r="1010" ht="14.25" customHeight="1" x14ac:dyDescent="0.35"/>
    <row r="1011" ht="14.25" customHeight="1" x14ac:dyDescent="0.35"/>
    <row r="1012" ht="14.25" customHeight="1" x14ac:dyDescent="0.35"/>
    <row r="1013" ht="14.25" customHeight="1" x14ac:dyDescent="0.35"/>
    <row r="1014" ht="14.25" customHeight="1" x14ac:dyDescent="0.35"/>
    <row r="1015" ht="14.25" customHeight="1" x14ac:dyDescent="0.35"/>
    <row r="1016" ht="14.25" customHeight="1" x14ac:dyDescent="0.35"/>
    <row r="1017" ht="14.25" customHeight="1" x14ac:dyDescent="0.35"/>
    <row r="1018" ht="14.25" customHeight="1" x14ac:dyDescent="0.35"/>
    <row r="1019" ht="14.25" customHeight="1" x14ac:dyDescent="0.35"/>
    <row r="1020" ht="14.25" customHeight="1" x14ac:dyDescent="0.35"/>
    <row r="1021" ht="14.25" customHeight="1" x14ac:dyDescent="0.35"/>
    <row r="1022" ht="14.25" customHeight="1" x14ac:dyDescent="0.35"/>
    <row r="1023" ht="14.25" customHeight="1" x14ac:dyDescent="0.35"/>
    <row r="1024" ht="14.25" customHeight="1" x14ac:dyDescent="0.35"/>
    <row r="1025" ht="14.25" customHeight="1" x14ac:dyDescent="0.35"/>
    <row r="1026" ht="14.25" customHeight="1" x14ac:dyDescent="0.35"/>
    <row r="1027" ht="14.25" customHeight="1" x14ac:dyDescent="0.35"/>
    <row r="1028" ht="14.25" customHeight="1" x14ac:dyDescent="0.35"/>
    <row r="1029" ht="14.25" customHeight="1" x14ac:dyDescent="0.35"/>
    <row r="1030" ht="14.25" customHeight="1" x14ac:dyDescent="0.35"/>
    <row r="1031" ht="14.25" customHeight="1" x14ac:dyDescent="0.35"/>
    <row r="1032" ht="14.25" customHeight="1" x14ac:dyDescent="0.35"/>
    <row r="1033" ht="14.25" customHeight="1" x14ac:dyDescent="0.35"/>
    <row r="1034" ht="14.25" customHeight="1" x14ac:dyDescent="0.35"/>
    <row r="1035" ht="14.25" customHeight="1" x14ac:dyDescent="0.35"/>
  </sheetData>
  <autoFilter ref="A9:F281" xr:uid="{00000000-0009-0000-0000-000000000000}"/>
  <mergeCells count="1">
    <mergeCell ref="A1:B4"/>
  </mergeCells>
  <pageMargins left="0.7" right="0.7" top="0.75" bottom="0.75" header="0" footer="0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Q83"/>
  <sheetViews>
    <sheetView topLeftCell="A9" zoomScale="55" zoomScaleNormal="55" workbookViewId="0">
      <selection activeCell="G25" sqref="G25"/>
    </sheetView>
  </sheetViews>
  <sheetFormatPr baseColWidth="10" defaultRowHeight="14.5" x14ac:dyDescent="0.35"/>
  <cols>
    <col min="1" max="1" width="2.1796875" customWidth="1"/>
    <col min="2" max="2" width="34" bestFit="1" customWidth="1"/>
    <col min="3" max="3" width="23.90625" customWidth="1"/>
    <col min="4" max="4" width="20.7265625" bestFit="1" customWidth="1"/>
    <col min="5" max="16" width="16.54296875" customWidth="1"/>
    <col min="18" max="18" width="11.453125" bestFit="1" customWidth="1"/>
    <col min="22" max="22" width="8.08984375" customWidth="1"/>
  </cols>
  <sheetData>
    <row r="2" spans="2:17" x14ac:dyDescent="0.35">
      <c r="B2" s="29" t="s">
        <v>21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</row>
    <row r="3" spans="2:17" ht="21" customHeight="1" x14ac:dyDescent="0.35"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</row>
    <row r="4" spans="2:17" ht="26" x14ac:dyDescent="0.6"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</row>
    <row r="5" spans="2:17" ht="26" x14ac:dyDescent="0.6">
      <c r="B5" s="18" t="s">
        <v>34</v>
      </c>
      <c r="C5" s="18" t="s">
        <v>35</v>
      </c>
      <c r="D5" s="18" t="s">
        <v>36</v>
      </c>
      <c r="E5" s="19" t="s">
        <v>22</v>
      </c>
      <c r="F5" s="19" t="s">
        <v>23</v>
      </c>
      <c r="G5" s="19" t="s">
        <v>24</v>
      </c>
      <c r="H5" s="19" t="s">
        <v>25</v>
      </c>
      <c r="I5" s="19" t="s">
        <v>26</v>
      </c>
      <c r="J5" s="19" t="s">
        <v>27</v>
      </c>
      <c r="K5" s="19" t="s">
        <v>28</v>
      </c>
      <c r="L5" s="19" t="s">
        <v>29</v>
      </c>
      <c r="M5" s="19" t="s">
        <v>30</v>
      </c>
      <c r="N5" s="19" t="s">
        <v>31</v>
      </c>
      <c r="O5" s="19" t="s">
        <v>32</v>
      </c>
      <c r="P5" s="19" t="s">
        <v>33</v>
      </c>
    </row>
    <row r="6" spans="2:17" ht="26" x14ac:dyDescent="0.6">
      <c r="B6" s="23">
        <v>2023</v>
      </c>
      <c r="C6" s="30" t="s">
        <v>9</v>
      </c>
      <c r="D6" s="30" t="s">
        <v>6</v>
      </c>
      <c r="E6" s="20">
        <v>0</v>
      </c>
      <c r="F6" s="20">
        <v>0</v>
      </c>
      <c r="G6" s="20">
        <v>0</v>
      </c>
      <c r="H6" s="20">
        <v>406</v>
      </c>
      <c r="I6" s="20">
        <v>475</v>
      </c>
      <c r="J6" s="20">
        <v>400</v>
      </c>
      <c r="K6" s="20">
        <v>463.5</v>
      </c>
      <c r="L6" s="21">
        <v>574</v>
      </c>
      <c r="M6" s="21">
        <v>460</v>
      </c>
      <c r="N6" s="21">
        <v>360</v>
      </c>
      <c r="O6" s="21">
        <v>322</v>
      </c>
      <c r="P6" s="21">
        <v>260</v>
      </c>
      <c r="Q6" s="24">
        <f>SUM(E6:P6)</f>
        <v>3720.5</v>
      </c>
    </row>
    <row r="7" spans="2:17" ht="26" x14ac:dyDescent="0.6">
      <c r="B7" s="23">
        <v>2024</v>
      </c>
      <c r="C7" s="31"/>
      <c r="D7" s="31"/>
      <c r="E7" s="20">
        <v>380</v>
      </c>
      <c r="F7" s="20">
        <v>305</v>
      </c>
      <c r="G7" s="20">
        <v>275</v>
      </c>
      <c r="H7" s="20">
        <v>322</v>
      </c>
      <c r="I7" s="20">
        <v>322</v>
      </c>
      <c r="J7" s="20">
        <v>393</v>
      </c>
      <c r="K7" s="20">
        <v>428</v>
      </c>
      <c r="L7" s="21">
        <v>263</v>
      </c>
      <c r="M7" s="21">
        <v>310</v>
      </c>
      <c r="N7" s="21">
        <v>378</v>
      </c>
      <c r="O7" s="21">
        <v>320</v>
      </c>
      <c r="P7" s="21">
        <v>384</v>
      </c>
      <c r="Q7" s="24">
        <f t="shared" ref="Q7:Q9" si="0">SUM(E7:P7)</f>
        <v>4080</v>
      </c>
    </row>
    <row r="8" spans="2:17" ht="26" x14ac:dyDescent="0.6">
      <c r="B8" s="23">
        <v>2025</v>
      </c>
      <c r="C8" s="31"/>
      <c r="D8" s="31"/>
      <c r="E8" s="20">
        <v>459.5</v>
      </c>
      <c r="F8" s="20">
        <v>426</v>
      </c>
      <c r="G8" s="20">
        <v>401</v>
      </c>
      <c r="H8" s="20">
        <v>394</v>
      </c>
      <c r="I8" s="20">
        <v>396</v>
      </c>
      <c r="J8" s="20">
        <v>339</v>
      </c>
      <c r="K8" s="20">
        <v>448</v>
      </c>
      <c r="L8" s="21">
        <v>546</v>
      </c>
      <c r="M8" s="21">
        <v>239</v>
      </c>
      <c r="N8" s="21">
        <v>437</v>
      </c>
      <c r="O8" s="21">
        <v>202</v>
      </c>
      <c r="P8" s="21">
        <v>296</v>
      </c>
      <c r="Q8" s="24">
        <f t="shared" si="0"/>
        <v>4583.5</v>
      </c>
    </row>
    <row r="9" spans="2:17" ht="26" x14ac:dyDescent="0.6">
      <c r="B9" s="23">
        <v>2026</v>
      </c>
      <c r="C9" s="32"/>
      <c r="D9" s="32"/>
      <c r="E9" s="20">
        <v>443</v>
      </c>
      <c r="F9" s="20">
        <v>245</v>
      </c>
      <c r="G9" s="20">
        <v>340</v>
      </c>
      <c r="H9" s="20"/>
      <c r="I9" s="20"/>
      <c r="J9" s="20"/>
      <c r="K9" s="20"/>
      <c r="L9" s="21"/>
      <c r="M9" s="21"/>
      <c r="N9" s="21"/>
      <c r="O9" s="21"/>
      <c r="P9" s="21"/>
      <c r="Q9" s="24">
        <f t="shared" si="0"/>
        <v>1028</v>
      </c>
    </row>
    <row r="10" spans="2:17" ht="26" x14ac:dyDescent="0.6">
      <c r="B10" s="17"/>
      <c r="C10" s="17"/>
      <c r="D10" s="17"/>
      <c r="E10" s="22"/>
      <c r="F10" s="22"/>
      <c r="G10" s="22"/>
      <c r="H10" s="22"/>
      <c r="I10" s="22"/>
      <c r="J10" s="22"/>
      <c r="K10" s="22"/>
      <c r="L10" s="17"/>
      <c r="M10" s="17"/>
      <c r="N10" s="17"/>
      <c r="O10" s="17"/>
      <c r="P10" s="17" t="s">
        <v>37</v>
      </c>
      <c r="Q10" s="24">
        <f>SUM(Q6:Q9)</f>
        <v>13412</v>
      </c>
    </row>
    <row r="11" spans="2:17" ht="64.5" customHeight="1" x14ac:dyDescent="0.35"/>
    <row r="25" ht="73.5" customHeight="1" x14ac:dyDescent="0.35"/>
    <row r="26" ht="7.5" customHeight="1" x14ac:dyDescent="0.35"/>
    <row r="27" ht="3" customHeight="1" x14ac:dyDescent="0.35"/>
    <row r="28" hidden="1" x14ac:dyDescent="0.35"/>
    <row r="29" hidden="1" x14ac:dyDescent="0.35"/>
    <row r="30" hidden="1" x14ac:dyDescent="0.35"/>
    <row r="44" ht="56.5" customHeight="1" x14ac:dyDescent="0.35"/>
    <row r="63" ht="78.5" customHeight="1" x14ac:dyDescent="0.35"/>
    <row r="64" ht="48.5" customHeight="1" x14ac:dyDescent="0.35"/>
    <row r="80" ht="74.5" customHeight="1" x14ac:dyDescent="0.35"/>
    <row r="83" ht="52.5" customHeight="1" x14ac:dyDescent="0.35"/>
  </sheetData>
  <mergeCells count="3">
    <mergeCell ref="B2:P3"/>
    <mergeCell ref="C6:C9"/>
    <mergeCell ref="D6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DIESEL SERFOCOL</vt:lpstr>
      <vt:lpstr>RESUMEN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Acer</dc:creator>
  <cp:keywords/>
  <dc:description/>
  <cp:lastModifiedBy>RICARDO GREZ TOLOZA</cp:lastModifiedBy>
  <cp:revision/>
  <dcterms:created xsi:type="dcterms:W3CDTF">2025-06-27T16:50:47Z</dcterms:created>
  <dcterms:modified xsi:type="dcterms:W3CDTF">2026-10-16T17:26:33Z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4e9a4a-eb20-4aad-9a64-8872817c1a6f_Enabled">
    <vt:lpwstr>true</vt:lpwstr>
  </property>
  <property fmtid="{D5CDD505-2E9C-101B-9397-08002B2CF9AE}" pid="3" name="MSIP_Label_9f4e9a4a-eb20-4aad-9a64-8872817c1a6f_SetDate">
    <vt:lpwstr>2026-05-13T00:57:40Z</vt:lpwstr>
  </property>
  <property fmtid="{D5CDD505-2E9C-101B-9397-08002B2CF9AE}" pid="4" name="MSIP_Label_9f4e9a4a-eb20-4aad-9a64-8872817c1a6f_Method">
    <vt:lpwstr>Standard</vt:lpwstr>
  </property>
  <property fmtid="{D5CDD505-2E9C-101B-9397-08002B2CF9AE}" pid="5" name="MSIP_Label_9f4e9a4a-eb20-4aad-9a64-8872817c1a6f_Name">
    <vt:lpwstr>defa4170-0d19-0005-0004-bc88714345d2</vt:lpwstr>
  </property>
  <property fmtid="{D5CDD505-2E9C-101B-9397-08002B2CF9AE}" pid="6" name="MSIP_Label_9f4e9a4a-eb20-4aad-9a64-8872817c1a6f_SiteId">
    <vt:lpwstr>7a599002-001c-432c-846e-1ddca9f6b299</vt:lpwstr>
  </property>
  <property fmtid="{D5CDD505-2E9C-101B-9397-08002B2CF9AE}" pid="7" name="MSIP_Label_9f4e9a4a-eb20-4aad-9a64-8872817c1a6f_ActionId">
    <vt:lpwstr>51ff7a1e-06da-4164-836f-d9f98bcb7f92</vt:lpwstr>
  </property>
  <property fmtid="{D5CDD505-2E9C-101B-9397-08002B2CF9AE}" pid="8" name="MSIP_Label_9f4e9a4a-eb20-4aad-9a64-8872817c1a6f_ContentBits">
    <vt:lpwstr>0</vt:lpwstr>
  </property>
  <property fmtid="{D5CDD505-2E9C-101B-9397-08002B2CF9AE}" pid="9" name="MSIP_Label_9f4e9a4a-eb20-4aad-9a64-8872817c1a6f_Tag">
    <vt:lpwstr>10, 3, 0, 1</vt:lpwstr>
  </property>
</Properties>
</file>